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K157" i="1"/>
  <c r="K145"/>
  <c r="K133"/>
  <c r="K121"/>
  <c r="K109"/>
  <c r="K97"/>
  <c r="K85"/>
  <c r="K73"/>
  <c r="K61"/>
  <c r="K49"/>
  <c r="K37"/>
  <c r="K25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4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12"/>
</calcChain>
</file>

<file path=xl/sharedStrings.xml><?xml version="1.0" encoding="utf-8"?>
<sst xmlns="http://schemas.openxmlformats.org/spreadsheetml/2006/main" count="594" uniqueCount="27">
  <si>
    <t>rat</t>
  </si>
  <si>
    <t>ox</t>
  </si>
  <si>
    <t>tiger</t>
  </si>
  <si>
    <t>rabbit</t>
  </si>
  <si>
    <t>dragon</t>
  </si>
  <si>
    <t>snake</t>
  </si>
  <si>
    <t>horse</t>
  </si>
  <si>
    <t>sheep</t>
  </si>
  <si>
    <t>monkey</t>
  </si>
  <si>
    <t>rooster</t>
  </si>
  <si>
    <t>dog</t>
  </si>
  <si>
    <t>pig</t>
  </si>
  <si>
    <t>How to calculate the monthly % ratiing.</t>
  </si>
  <si>
    <t>Horse</t>
  </si>
  <si>
    <t>Compat</t>
  </si>
  <si>
    <t xml:space="preserve"> </t>
  </si>
  <si>
    <t xml:space="preserve">. </t>
  </si>
  <si>
    <t xml:space="preserve">Element ratings: Each element to itself  0; +5 Wood - Fire, Fire-Earth, Earrth-Metal, Metal - Water, Water - Wood; -5 Wood-Earth, Earth-Water, Water-Fire, Fire-Metal, Metal-Wood; </t>
  </si>
  <si>
    <t>Cont. +3 Fire-Wood, Earth-Fire, Metal-Earth, Water-Metal, Wood-Water; -3 Earth-Wood, Water-Earth, Fire-Water, Metal-Fire, Wood-Metal</t>
  </si>
  <si>
    <t>Note: the first element is  the year element, and the 2nd is the fixed element of the customer's animal sign.</t>
  </si>
  <si>
    <t>Fixed Elements: Water Pig, Rat, Ox; Wood Tiger, Rabbit, Dragon; Fire: Snake, Horse, Sheep; Metal: Monkey, Rooster, Dog.</t>
  </si>
  <si>
    <t>Yr Adj</t>
  </si>
  <si>
    <t>Element</t>
  </si>
  <si>
    <t>Step 1. ID Year: Horse; Step 2. Go down Col E and find each sign's compatibility with year animal (Horse) and enter the % in Col A; Step 3. +- element adjustment, Wood Year, enter in Col H</t>
  </si>
  <si>
    <t>Step 4. Note how each sign matches with each month animal sign, Col E (same every year). Step 5. Adjust for month element.</t>
  </si>
  <si>
    <t>Begins with FIRE Tiger in Horse year.</t>
  </si>
  <si>
    <t>Mo Adj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</si>
</sst>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7"/>
  <sheetViews>
    <sheetView tabSelected="1" topLeftCell="A7" workbookViewId="0">
      <selection activeCell="Q7" sqref="Q7"/>
    </sheetView>
  </sheetViews>
  <sheetFormatPr defaultRowHeight="15"/>
  <cols>
    <col min="7" max="7" width="10.140625" bestFit="1" customWidth="1"/>
  </cols>
  <sheetData>
    <row r="1" spans="1:19" ht="15.75" customHeight="1">
      <c r="C1" t="s">
        <v>12</v>
      </c>
    </row>
    <row r="2" spans="1:19" ht="15.75" customHeight="1">
      <c r="C2" t="s">
        <v>23</v>
      </c>
      <c r="S2" t="s">
        <v>16</v>
      </c>
    </row>
    <row r="3" spans="1:19" ht="15.75" customHeight="1">
      <c r="C3" t="s">
        <v>24</v>
      </c>
      <c r="P3" t="s">
        <v>25</v>
      </c>
    </row>
    <row r="4" spans="1:19" ht="15.75" customHeight="1"/>
    <row r="5" spans="1:19" ht="15.75" customHeight="1"/>
    <row r="6" spans="1:19" ht="15.75" customHeight="1">
      <c r="C6" t="s">
        <v>17</v>
      </c>
    </row>
    <row r="7" spans="1:19" ht="15.75" customHeight="1">
      <c r="D7" t="s">
        <v>18</v>
      </c>
    </row>
    <row r="8" spans="1:19" ht="15.75" customHeight="1">
      <c r="D8" t="s">
        <v>19</v>
      </c>
    </row>
    <row r="9" spans="1:19" ht="15.75" customHeight="1">
      <c r="C9" t="s">
        <v>20</v>
      </c>
    </row>
    <row r="10" spans="1:19" ht="15.75" customHeight="1"/>
    <row r="11" spans="1:19" ht="15.75" customHeight="1">
      <c r="A11" t="s">
        <v>13</v>
      </c>
    </row>
    <row r="12" spans="1:19" ht="15.75" customHeight="1">
      <c r="A12" t="s">
        <v>14</v>
      </c>
      <c r="F12" t="s">
        <v>26</v>
      </c>
      <c r="H12" t="s">
        <v>21</v>
      </c>
      <c r="I12" t="s">
        <v>15</v>
      </c>
    </row>
    <row r="13" spans="1:19">
      <c r="A13" t="s">
        <v>15</v>
      </c>
      <c r="F13" t="s">
        <v>22</v>
      </c>
      <c r="H13" t="s">
        <v>22</v>
      </c>
      <c r="I13" t="s">
        <v>15</v>
      </c>
    </row>
    <row r="14" spans="1:19" ht="15.75">
      <c r="A14">
        <v>11</v>
      </c>
      <c r="C14" s="1" t="s">
        <v>0</v>
      </c>
      <c r="D14" s="1" t="s">
        <v>0</v>
      </c>
      <c r="E14" s="1">
        <v>69</v>
      </c>
      <c r="F14" s="1">
        <v>-3</v>
      </c>
      <c r="G14" s="1">
        <f t="shared" ref="G14:G77" si="0">F14+E14</f>
        <v>66</v>
      </c>
      <c r="H14" s="1">
        <v>3</v>
      </c>
      <c r="I14">
        <v>14</v>
      </c>
      <c r="J14" s="2">
        <f>AVERAGE(I14,G14)/100</f>
        <v>0.4</v>
      </c>
      <c r="M14" s="1" t="s">
        <v>0</v>
      </c>
      <c r="N14" s="1" t="s">
        <v>0</v>
      </c>
      <c r="O14" s="2">
        <v>0.4</v>
      </c>
    </row>
    <row r="15" spans="1:19" ht="15.75">
      <c r="A15">
        <v>11</v>
      </c>
      <c r="C15" s="1" t="s">
        <v>0</v>
      </c>
      <c r="D15" s="1" t="s">
        <v>1</v>
      </c>
      <c r="E15" s="1">
        <v>62</v>
      </c>
      <c r="F15" s="1">
        <v>-3</v>
      </c>
      <c r="G15" s="1">
        <f t="shared" si="0"/>
        <v>59</v>
      </c>
      <c r="H15" s="1">
        <v>3</v>
      </c>
      <c r="I15">
        <v>14</v>
      </c>
      <c r="J15" s="2">
        <f t="shared" ref="J15:J78" si="1">AVERAGE(I15,G15)/100</f>
        <v>0.36499999999999999</v>
      </c>
      <c r="M15" s="1" t="s">
        <v>0</v>
      </c>
      <c r="N15" s="1" t="s">
        <v>1</v>
      </c>
      <c r="O15" s="2">
        <v>0.37</v>
      </c>
    </row>
    <row r="16" spans="1:19" ht="15.75">
      <c r="A16">
        <v>11</v>
      </c>
      <c r="C16" s="1" t="s">
        <v>0</v>
      </c>
      <c r="D16" s="1" t="s">
        <v>2</v>
      </c>
      <c r="E16" s="1">
        <v>41</v>
      </c>
      <c r="F16" s="1">
        <v>-3</v>
      </c>
      <c r="G16" s="1">
        <f t="shared" si="0"/>
        <v>38</v>
      </c>
      <c r="H16" s="1">
        <v>3</v>
      </c>
      <c r="I16">
        <v>14</v>
      </c>
      <c r="J16" s="2">
        <f t="shared" si="1"/>
        <v>0.26</v>
      </c>
      <c r="M16" s="1" t="s">
        <v>0</v>
      </c>
      <c r="N16" s="1" t="s">
        <v>2</v>
      </c>
      <c r="O16" s="2">
        <v>0.26</v>
      </c>
    </row>
    <row r="17" spans="1:17" ht="15.75">
      <c r="A17">
        <v>11</v>
      </c>
      <c r="C17" s="1" t="s">
        <v>0</v>
      </c>
      <c r="D17" s="1" t="s">
        <v>3</v>
      </c>
      <c r="E17" s="1">
        <v>31</v>
      </c>
      <c r="F17" s="1">
        <v>-3</v>
      </c>
      <c r="G17" s="1">
        <f t="shared" si="0"/>
        <v>28</v>
      </c>
      <c r="H17" s="1">
        <v>3</v>
      </c>
      <c r="I17">
        <v>14</v>
      </c>
      <c r="J17" s="2">
        <f t="shared" si="1"/>
        <v>0.21</v>
      </c>
      <c r="M17" s="1" t="s">
        <v>0</v>
      </c>
      <c r="N17" s="1" t="s">
        <v>3</v>
      </c>
      <c r="O17" s="2">
        <v>0.21</v>
      </c>
    </row>
    <row r="18" spans="1:17" ht="15.75">
      <c r="A18">
        <v>11</v>
      </c>
      <c r="C18" s="1" t="s">
        <v>0</v>
      </c>
      <c r="D18" s="1" t="s">
        <v>4</v>
      </c>
      <c r="E18" s="1">
        <v>96</v>
      </c>
      <c r="F18" s="1">
        <v>-5</v>
      </c>
      <c r="G18" s="1">
        <f t="shared" si="0"/>
        <v>91</v>
      </c>
      <c r="H18" s="1">
        <v>3</v>
      </c>
      <c r="I18">
        <v>14</v>
      </c>
      <c r="J18" s="2">
        <f t="shared" si="1"/>
        <v>0.52500000000000002</v>
      </c>
      <c r="M18" s="1" t="s">
        <v>0</v>
      </c>
      <c r="N18" s="1" t="s">
        <v>4</v>
      </c>
      <c r="O18" s="2">
        <v>0.53</v>
      </c>
    </row>
    <row r="19" spans="1:17" ht="15.75">
      <c r="A19">
        <v>11</v>
      </c>
      <c r="C19" s="1" t="s">
        <v>0</v>
      </c>
      <c r="D19" s="1" t="s">
        <v>5</v>
      </c>
      <c r="E19" s="1">
        <v>76</v>
      </c>
      <c r="F19" s="1">
        <v>-5</v>
      </c>
      <c r="G19" s="1">
        <f t="shared" si="0"/>
        <v>71</v>
      </c>
      <c r="H19" s="1">
        <v>3</v>
      </c>
      <c r="I19">
        <v>14</v>
      </c>
      <c r="J19" s="2">
        <f t="shared" si="1"/>
        <v>0.42499999999999999</v>
      </c>
      <c r="M19" s="1" t="s">
        <v>0</v>
      </c>
      <c r="N19" s="1" t="s">
        <v>5</v>
      </c>
      <c r="O19" s="2">
        <v>0.43</v>
      </c>
    </row>
    <row r="20" spans="1:17" ht="15.75">
      <c r="A20">
        <v>11</v>
      </c>
      <c r="C20" s="1" t="s">
        <v>0</v>
      </c>
      <c r="D20" s="1" t="s">
        <v>6</v>
      </c>
      <c r="E20" s="1">
        <v>11</v>
      </c>
      <c r="F20" s="1">
        <v>5</v>
      </c>
      <c r="G20" s="1">
        <f t="shared" si="0"/>
        <v>16</v>
      </c>
      <c r="H20" s="1">
        <v>3</v>
      </c>
      <c r="I20">
        <v>14</v>
      </c>
      <c r="J20" s="2">
        <f t="shared" si="1"/>
        <v>0.15</v>
      </c>
      <c r="M20" s="1" t="s">
        <v>0</v>
      </c>
      <c r="N20" s="1" t="s">
        <v>6</v>
      </c>
      <c r="O20" s="2">
        <v>0.15</v>
      </c>
    </row>
    <row r="21" spans="1:17" ht="15.75">
      <c r="A21">
        <v>11</v>
      </c>
      <c r="C21" s="1" t="s">
        <v>0</v>
      </c>
      <c r="D21" s="1" t="s">
        <v>7</v>
      </c>
      <c r="E21" s="1">
        <v>29</v>
      </c>
      <c r="F21" s="1">
        <v>5</v>
      </c>
      <c r="G21" s="1">
        <f t="shared" si="0"/>
        <v>34</v>
      </c>
      <c r="H21" s="1">
        <v>3</v>
      </c>
      <c r="I21">
        <v>14</v>
      </c>
      <c r="J21" s="2">
        <f t="shared" si="1"/>
        <v>0.24</v>
      </c>
      <c r="M21" s="1" t="s">
        <v>0</v>
      </c>
      <c r="N21" s="1" t="s">
        <v>7</v>
      </c>
      <c r="O21" s="2">
        <v>0.24</v>
      </c>
    </row>
    <row r="22" spans="1:17" ht="15.75">
      <c r="A22">
        <v>11</v>
      </c>
      <c r="C22" s="1" t="s">
        <v>0</v>
      </c>
      <c r="D22" s="1" t="s">
        <v>8</v>
      </c>
      <c r="E22" s="1">
        <v>96</v>
      </c>
      <c r="F22" s="1">
        <v>0</v>
      </c>
      <c r="G22" s="1">
        <f t="shared" si="0"/>
        <v>96</v>
      </c>
      <c r="H22" s="1">
        <v>3</v>
      </c>
      <c r="I22">
        <v>14</v>
      </c>
      <c r="J22" s="2">
        <f t="shared" si="1"/>
        <v>0.55000000000000004</v>
      </c>
      <c r="M22" s="1" t="s">
        <v>0</v>
      </c>
      <c r="N22" s="1" t="s">
        <v>8</v>
      </c>
      <c r="O22" s="2">
        <v>0.55000000000000004</v>
      </c>
    </row>
    <row r="23" spans="1:17" ht="15.75">
      <c r="A23">
        <v>11</v>
      </c>
      <c r="C23" s="1" t="s">
        <v>0</v>
      </c>
      <c r="D23" s="1" t="s">
        <v>9</v>
      </c>
      <c r="E23" s="1">
        <v>25</v>
      </c>
      <c r="F23" s="1">
        <v>0</v>
      </c>
      <c r="G23" s="1">
        <f t="shared" si="0"/>
        <v>25</v>
      </c>
      <c r="H23" s="1">
        <v>3</v>
      </c>
      <c r="I23">
        <v>14</v>
      </c>
      <c r="J23" s="2">
        <f t="shared" si="1"/>
        <v>0.19500000000000001</v>
      </c>
      <c r="M23" s="1" t="s">
        <v>0</v>
      </c>
      <c r="N23" s="1" t="s">
        <v>9</v>
      </c>
      <c r="O23" s="2">
        <v>0.2</v>
      </c>
    </row>
    <row r="24" spans="1:17" ht="15.75">
      <c r="A24">
        <v>11</v>
      </c>
      <c r="C24" s="1" t="s">
        <v>0</v>
      </c>
      <c r="D24" s="1" t="s">
        <v>10</v>
      </c>
      <c r="E24" s="1">
        <v>49</v>
      </c>
      <c r="F24" s="1">
        <v>3</v>
      </c>
      <c r="G24" s="1">
        <f t="shared" si="0"/>
        <v>52</v>
      </c>
      <c r="H24" s="1">
        <v>3</v>
      </c>
      <c r="I24">
        <v>14</v>
      </c>
      <c r="J24" s="2">
        <f t="shared" si="1"/>
        <v>0.33</v>
      </c>
      <c r="M24" s="1" t="s">
        <v>0</v>
      </c>
      <c r="N24" s="1" t="s">
        <v>10</v>
      </c>
      <c r="O24" s="2">
        <v>0.33</v>
      </c>
    </row>
    <row r="25" spans="1:17" ht="15.75">
      <c r="A25">
        <v>11</v>
      </c>
      <c r="C25" s="1" t="s">
        <v>0</v>
      </c>
      <c r="D25" s="1" t="s">
        <v>11</v>
      </c>
      <c r="E25" s="1">
        <v>78</v>
      </c>
      <c r="F25" s="1">
        <v>3</v>
      </c>
      <c r="G25" s="1">
        <f t="shared" si="0"/>
        <v>81</v>
      </c>
      <c r="H25" s="1">
        <v>3</v>
      </c>
      <c r="I25">
        <v>14</v>
      </c>
      <c r="J25" s="2">
        <f t="shared" si="1"/>
        <v>0.47499999999999998</v>
      </c>
      <c r="K25" s="3">
        <f>AVERAGE(J14:J25)</f>
        <v>0.34374999999999994</v>
      </c>
      <c r="M25" s="1" t="s">
        <v>0</v>
      </c>
      <c r="N25" s="1" t="s">
        <v>11</v>
      </c>
      <c r="O25" s="2">
        <v>0.48</v>
      </c>
      <c r="Q25">
        <v>34</v>
      </c>
    </row>
    <row r="26" spans="1:17" ht="15.75">
      <c r="A26">
        <v>16</v>
      </c>
      <c r="C26" s="1" t="s">
        <v>1</v>
      </c>
      <c r="D26" s="1" t="s">
        <v>0</v>
      </c>
      <c r="E26" s="1">
        <v>62</v>
      </c>
      <c r="F26" s="1">
        <v>-3</v>
      </c>
      <c r="G26" s="1">
        <f t="shared" si="0"/>
        <v>59</v>
      </c>
      <c r="H26" s="1">
        <v>3</v>
      </c>
      <c r="I26">
        <v>19</v>
      </c>
      <c r="J26" s="2">
        <f t="shared" si="1"/>
        <v>0.39</v>
      </c>
      <c r="M26" s="1" t="s">
        <v>1</v>
      </c>
      <c r="N26" s="1" t="s">
        <v>0</v>
      </c>
      <c r="O26" s="2">
        <v>0.39</v>
      </c>
    </row>
    <row r="27" spans="1:17" ht="15.75">
      <c r="A27">
        <v>16</v>
      </c>
      <c r="C27" s="1" t="s">
        <v>1</v>
      </c>
      <c r="D27" s="1" t="s">
        <v>1</v>
      </c>
      <c r="E27" s="1">
        <v>49</v>
      </c>
      <c r="F27" s="1">
        <v>-3</v>
      </c>
      <c r="G27" s="1">
        <f t="shared" si="0"/>
        <v>46</v>
      </c>
      <c r="H27" s="1">
        <v>3</v>
      </c>
      <c r="I27">
        <v>19</v>
      </c>
      <c r="J27" s="2">
        <f t="shared" si="1"/>
        <v>0.32500000000000001</v>
      </c>
      <c r="M27" s="1" t="s">
        <v>1</v>
      </c>
      <c r="N27" s="1" t="s">
        <v>1</v>
      </c>
      <c r="O27" s="2">
        <v>0.33</v>
      </c>
    </row>
    <row r="28" spans="1:17" ht="15.75">
      <c r="A28">
        <v>16</v>
      </c>
      <c r="C28" s="1" t="s">
        <v>1</v>
      </c>
      <c r="D28" s="1" t="s">
        <v>2</v>
      </c>
      <c r="E28" s="1">
        <v>7</v>
      </c>
      <c r="F28" s="1">
        <v>-3</v>
      </c>
      <c r="G28" s="1">
        <f t="shared" si="0"/>
        <v>4</v>
      </c>
      <c r="H28" s="1">
        <v>3</v>
      </c>
      <c r="I28">
        <v>19</v>
      </c>
      <c r="J28" s="2">
        <f t="shared" si="1"/>
        <v>0.115</v>
      </c>
      <c r="M28" s="1" t="s">
        <v>1</v>
      </c>
      <c r="N28" s="1" t="s">
        <v>2</v>
      </c>
      <c r="O28" s="2">
        <v>0.12</v>
      </c>
    </row>
    <row r="29" spans="1:17" ht="15.75">
      <c r="A29">
        <v>16</v>
      </c>
      <c r="C29" s="1" t="s">
        <v>1</v>
      </c>
      <c r="D29" s="1" t="s">
        <v>3</v>
      </c>
      <c r="E29" s="1">
        <v>77</v>
      </c>
      <c r="F29" s="1">
        <v>-3</v>
      </c>
      <c r="G29" s="1">
        <f t="shared" si="0"/>
        <v>74</v>
      </c>
      <c r="H29" s="1">
        <v>3</v>
      </c>
      <c r="I29">
        <v>19</v>
      </c>
      <c r="J29" s="2">
        <f t="shared" si="1"/>
        <v>0.46500000000000002</v>
      </c>
      <c r="M29" s="1" t="s">
        <v>1</v>
      </c>
      <c r="N29" s="1" t="s">
        <v>3</v>
      </c>
      <c r="O29" s="2">
        <v>0.47</v>
      </c>
    </row>
    <row r="30" spans="1:17" ht="15.75">
      <c r="A30">
        <v>16</v>
      </c>
      <c r="C30" s="1" t="s">
        <v>1</v>
      </c>
      <c r="D30" s="1" t="s">
        <v>4</v>
      </c>
      <c r="E30" s="1">
        <v>24</v>
      </c>
      <c r="F30" s="1">
        <v>-5</v>
      </c>
      <c r="G30" s="1">
        <f t="shared" si="0"/>
        <v>19</v>
      </c>
      <c r="H30" s="1">
        <v>3</v>
      </c>
      <c r="I30">
        <v>19</v>
      </c>
      <c r="J30" s="2">
        <f t="shared" si="1"/>
        <v>0.19</v>
      </c>
      <c r="M30" s="1" t="s">
        <v>1</v>
      </c>
      <c r="N30" s="1" t="s">
        <v>4</v>
      </c>
      <c r="O30" s="2">
        <v>0.19</v>
      </c>
    </row>
    <row r="31" spans="1:17" ht="15.75">
      <c r="A31">
        <v>16</v>
      </c>
      <c r="C31" s="1" t="s">
        <v>1</v>
      </c>
      <c r="D31" s="1" t="s">
        <v>5</v>
      </c>
      <c r="E31" s="1">
        <v>95</v>
      </c>
      <c r="F31" s="1">
        <v>-5</v>
      </c>
      <c r="G31" s="1">
        <f t="shared" si="0"/>
        <v>90</v>
      </c>
      <c r="H31" s="1">
        <v>3</v>
      </c>
      <c r="I31">
        <v>19</v>
      </c>
      <c r="J31" s="2">
        <f t="shared" si="1"/>
        <v>0.54500000000000004</v>
      </c>
      <c r="M31" s="1" t="s">
        <v>1</v>
      </c>
      <c r="N31" s="1" t="s">
        <v>5</v>
      </c>
      <c r="O31" s="2">
        <v>0.55000000000000004</v>
      </c>
    </row>
    <row r="32" spans="1:17" ht="15.75">
      <c r="A32">
        <v>16</v>
      </c>
      <c r="C32" s="1" t="s">
        <v>1</v>
      </c>
      <c r="D32" s="1" t="s">
        <v>6</v>
      </c>
      <c r="E32" s="1">
        <v>16</v>
      </c>
      <c r="F32" s="1">
        <v>5</v>
      </c>
      <c r="G32" s="1">
        <f t="shared" si="0"/>
        <v>21</v>
      </c>
      <c r="H32" s="1">
        <v>3</v>
      </c>
      <c r="I32">
        <v>19</v>
      </c>
      <c r="J32" s="2">
        <f t="shared" si="1"/>
        <v>0.2</v>
      </c>
      <c r="M32" s="1" t="s">
        <v>1</v>
      </c>
      <c r="N32" s="1" t="s">
        <v>6</v>
      </c>
      <c r="O32" s="2">
        <v>0.2</v>
      </c>
    </row>
    <row r="33" spans="1:17" ht="15.75">
      <c r="A33">
        <v>16</v>
      </c>
      <c r="C33" s="1" t="s">
        <v>1</v>
      </c>
      <c r="D33" s="1" t="s">
        <v>7</v>
      </c>
      <c r="E33" s="1">
        <v>8</v>
      </c>
      <c r="F33" s="1">
        <v>5</v>
      </c>
      <c r="G33" s="1">
        <f t="shared" si="0"/>
        <v>13</v>
      </c>
      <c r="H33" s="1">
        <v>3</v>
      </c>
      <c r="I33">
        <v>19</v>
      </c>
      <c r="J33" s="2">
        <f t="shared" si="1"/>
        <v>0.16</v>
      </c>
      <c r="M33" s="1" t="s">
        <v>1</v>
      </c>
      <c r="N33" s="1" t="s">
        <v>7</v>
      </c>
      <c r="O33" s="2">
        <v>0.16</v>
      </c>
    </row>
    <row r="34" spans="1:17" ht="15.75">
      <c r="A34">
        <v>16</v>
      </c>
      <c r="C34" s="1" t="s">
        <v>1</v>
      </c>
      <c r="D34" s="1" t="s">
        <v>8</v>
      </c>
      <c r="E34" s="1">
        <v>42</v>
      </c>
      <c r="F34" s="1">
        <v>0</v>
      </c>
      <c r="G34" s="1">
        <f t="shared" si="0"/>
        <v>42</v>
      </c>
      <c r="H34" s="1">
        <v>3</v>
      </c>
      <c r="I34">
        <v>19</v>
      </c>
      <c r="J34" s="2">
        <f t="shared" si="1"/>
        <v>0.30499999999999999</v>
      </c>
      <c r="M34" s="1" t="s">
        <v>1</v>
      </c>
      <c r="N34" s="1" t="s">
        <v>8</v>
      </c>
      <c r="O34" s="2">
        <v>0.31</v>
      </c>
    </row>
    <row r="35" spans="1:17" ht="15.75">
      <c r="A35">
        <v>16</v>
      </c>
      <c r="C35" s="1" t="s">
        <v>1</v>
      </c>
      <c r="D35" s="1" t="s">
        <v>9</v>
      </c>
      <c r="E35" s="1">
        <v>95</v>
      </c>
      <c r="F35" s="1">
        <v>0</v>
      </c>
      <c r="G35" s="1">
        <f t="shared" si="0"/>
        <v>95</v>
      </c>
      <c r="H35" s="1">
        <v>3</v>
      </c>
      <c r="I35">
        <v>19</v>
      </c>
      <c r="J35" s="2">
        <f t="shared" si="1"/>
        <v>0.56999999999999995</v>
      </c>
      <c r="M35" s="1" t="s">
        <v>1</v>
      </c>
      <c r="N35" s="1" t="s">
        <v>9</v>
      </c>
      <c r="O35" s="2">
        <v>0.56999999999999995</v>
      </c>
    </row>
    <row r="36" spans="1:17" ht="15.75">
      <c r="A36">
        <v>16</v>
      </c>
      <c r="C36" s="1" t="s">
        <v>1</v>
      </c>
      <c r="D36" s="1" t="s">
        <v>10</v>
      </c>
      <c r="E36" s="1">
        <v>36</v>
      </c>
      <c r="F36" s="1">
        <v>3</v>
      </c>
      <c r="G36" s="1">
        <f t="shared" si="0"/>
        <v>39</v>
      </c>
      <c r="H36" s="1">
        <v>3</v>
      </c>
      <c r="I36">
        <v>19</v>
      </c>
      <c r="J36" s="2">
        <f t="shared" si="1"/>
        <v>0.28999999999999998</v>
      </c>
      <c r="M36" s="1" t="s">
        <v>1</v>
      </c>
      <c r="N36" s="1" t="s">
        <v>10</v>
      </c>
      <c r="O36" s="2">
        <v>0.28999999999999998</v>
      </c>
    </row>
    <row r="37" spans="1:17" ht="15.75">
      <c r="A37">
        <v>16</v>
      </c>
      <c r="C37" s="1" t="s">
        <v>1</v>
      </c>
      <c r="D37" s="1" t="s">
        <v>11</v>
      </c>
      <c r="E37" s="1">
        <v>47</v>
      </c>
      <c r="F37" s="1">
        <v>3</v>
      </c>
      <c r="G37" s="1">
        <f t="shared" si="0"/>
        <v>50</v>
      </c>
      <c r="H37" s="1">
        <v>3</v>
      </c>
      <c r="I37">
        <v>19</v>
      </c>
      <c r="J37" s="2">
        <f t="shared" si="1"/>
        <v>0.34499999999999997</v>
      </c>
      <c r="K37" s="3">
        <f>AVERAGE(J26:J37)</f>
        <v>0.32500000000000001</v>
      </c>
      <c r="M37" s="1" t="s">
        <v>1</v>
      </c>
      <c r="N37" s="1" t="s">
        <v>11</v>
      </c>
      <c r="O37" s="2">
        <v>0.35</v>
      </c>
      <c r="Q37">
        <v>33</v>
      </c>
    </row>
    <row r="38" spans="1:17" ht="15.75">
      <c r="A38">
        <v>95</v>
      </c>
      <c r="C38" s="1" t="s">
        <v>2</v>
      </c>
      <c r="D38" s="1" t="s">
        <v>0</v>
      </c>
      <c r="E38" s="1">
        <v>41</v>
      </c>
      <c r="F38" s="1">
        <v>3</v>
      </c>
      <c r="G38" s="1">
        <f t="shared" si="0"/>
        <v>44</v>
      </c>
      <c r="H38" s="1">
        <v>0</v>
      </c>
      <c r="I38">
        <v>95</v>
      </c>
      <c r="J38" s="2">
        <f t="shared" si="1"/>
        <v>0.69499999999999995</v>
      </c>
      <c r="M38" s="1" t="s">
        <v>2</v>
      </c>
      <c r="N38" s="1" t="s">
        <v>0</v>
      </c>
      <c r="O38" s="2">
        <v>0.7</v>
      </c>
    </row>
    <row r="39" spans="1:17" ht="15.75">
      <c r="A39">
        <v>95</v>
      </c>
      <c r="C39" s="1" t="s">
        <v>2</v>
      </c>
      <c r="D39" s="1" t="s">
        <v>1</v>
      </c>
      <c r="E39" s="1">
        <v>7</v>
      </c>
      <c r="F39" s="1">
        <v>-3</v>
      </c>
      <c r="G39" s="1">
        <f t="shared" si="0"/>
        <v>4</v>
      </c>
      <c r="H39" s="1">
        <v>0</v>
      </c>
      <c r="I39">
        <v>95</v>
      </c>
      <c r="J39" s="2">
        <f t="shared" si="1"/>
        <v>0.495</v>
      </c>
      <c r="M39" s="1" t="s">
        <v>2</v>
      </c>
      <c r="N39" s="1" t="s">
        <v>1</v>
      </c>
      <c r="O39" s="2">
        <v>0.5</v>
      </c>
    </row>
    <row r="40" spans="1:17" ht="15.75">
      <c r="A40">
        <v>95</v>
      </c>
      <c r="C40" s="1" t="s">
        <v>2</v>
      </c>
      <c r="D40" s="1" t="s">
        <v>2</v>
      </c>
      <c r="E40" s="1">
        <v>36</v>
      </c>
      <c r="F40" s="1">
        <v>3</v>
      </c>
      <c r="G40" s="1">
        <f t="shared" si="0"/>
        <v>39</v>
      </c>
      <c r="H40" s="1">
        <v>0</v>
      </c>
      <c r="I40">
        <v>95</v>
      </c>
      <c r="J40" s="2">
        <f t="shared" si="1"/>
        <v>0.67</v>
      </c>
      <c r="M40" s="1" t="s">
        <v>2</v>
      </c>
      <c r="N40" s="1" t="s">
        <v>2</v>
      </c>
      <c r="O40" s="2">
        <v>0.67</v>
      </c>
    </row>
    <row r="41" spans="1:17" ht="15.75">
      <c r="A41">
        <v>95</v>
      </c>
      <c r="C41" s="1" t="s">
        <v>2</v>
      </c>
      <c r="D41" s="1" t="s">
        <v>3</v>
      </c>
      <c r="E41" s="1">
        <v>68</v>
      </c>
      <c r="F41" s="1">
        <v>3</v>
      </c>
      <c r="G41" s="1">
        <f t="shared" si="0"/>
        <v>71</v>
      </c>
      <c r="H41" s="1">
        <v>0</v>
      </c>
      <c r="I41">
        <v>95</v>
      </c>
      <c r="J41" s="2">
        <f t="shared" si="1"/>
        <v>0.83</v>
      </c>
      <c r="M41" s="1" t="s">
        <v>2</v>
      </c>
      <c r="N41" s="1" t="s">
        <v>3</v>
      </c>
      <c r="O41" s="2">
        <v>0.83</v>
      </c>
    </row>
    <row r="42" spans="1:17" ht="15.75">
      <c r="A42">
        <v>95</v>
      </c>
      <c r="C42" s="1" t="s">
        <v>2</v>
      </c>
      <c r="D42" s="1" t="s">
        <v>4</v>
      </c>
      <c r="E42" s="1">
        <v>71</v>
      </c>
      <c r="F42" s="1">
        <v>-3</v>
      </c>
      <c r="G42" s="1">
        <f t="shared" si="0"/>
        <v>68</v>
      </c>
      <c r="H42" s="1">
        <v>0</v>
      </c>
      <c r="I42">
        <v>95</v>
      </c>
      <c r="J42" s="2">
        <f t="shared" si="1"/>
        <v>0.81499999999999995</v>
      </c>
      <c r="M42" s="1" t="s">
        <v>2</v>
      </c>
      <c r="N42" s="1" t="s">
        <v>4</v>
      </c>
      <c r="O42" s="2">
        <v>0.82</v>
      </c>
    </row>
    <row r="43" spans="1:17" ht="15.75">
      <c r="A43">
        <v>95</v>
      </c>
      <c r="C43" s="1" t="s">
        <v>2</v>
      </c>
      <c r="D43" s="1" t="s">
        <v>5</v>
      </c>
      <c r="E43" s="1">
        <v>17</v>
      </c>
      <c r="F43" s="1">
        <v>3</v>
      </c>
      <c r="G43" s="1">
        <f t="shared" si="0"/>
        <v>20</v>
      </c>
      <c r="H43" s="1">
        <v>0</v>
      </c>
      <c r="I43">
        <v>95</v>
      </c>
      <c r="J43" s="2">
        <f t="shared" si="1"/>
        <v>0.57499999999999996</v>
      </c>
      <c r="M43" s="1" t="s">
        <v>2</v>
      </c>
      <c r="N43" s="1" t="s">
        <v>5</v>
      </c>
      <c r="O43" s="2">
        <v>0.57999999999999996</v>
      </c>
    </row>
    <row r="44" spans="1:17" ht="15.75">
      <c r="A44">
        <v>95</v>
      </c>
      <c r="C44" s="1" t="s">
        <v>2</v>
      </c>
      <c r="D44" s="1" t="s">
        <v>6</v>
      </c>
      <c r="E44" s="1">
        <v>95</v>
      </c>
      <c r="F44" s="1">
        <v>-3</v>
      </c>
      <c r="G44" s="1">
        <f t="shared" si="0"/>
        <v>92</v>
      </c>
      <c r="H44" s="1">
        <v>0</v>
      </c>
      <c r="I44">
        <v>95</v>
      </c>
      <c r="J44" s="2">
        <f t="shared" si="1"/>
        <v>0.93500000000000005</v>
      </c>
      <c r="M44" s="1" t="s">
        <v>2</v>
      </c>
      <c r="N44" s="1" t="s">
        <v>6</v>
      </c>
      <c r="O44" s="2">
        <v>0.94</v>
      </c>
    </row>
    <row r="45" spans="1:17" ht="15.75">
      <c r="A45">
        <v>95</v>
      </c>
      <c r="C45" s="1" t="s">
        <v>2</v>
      </c>
      <c r="D45" s="1" t="s">
        <v>7</v>
      </c>
      <c r="E45" s="1">
        <v>34</v>
      </c>
      <c r="F45" s="1">
        <v>-3</v>
      </c>
      <c r="G45" s="1">
        <f t="shared" si="0"/>
        <v>31</v>
      </c>
      <c r="H45" s="1">
        <v>0</v>
      </c>
      <c r="I45">
        <v>95</v>
      </c>
      <c r="J45" s="2">
        <f t="shared" si="1"/>
        <v>0.63</v>
      </c>
      <c r="M45" s="1" t="s">
        <v>2</v>
      </c>
      <c r="N45" s="1" t="s">
        <v>7</v>
      </c>
      <c r="O45" s="2">
        <v>0.63</v>
      </c>
    </row>
    <row r="46" spans="1:17" ht="15.75">
      <c r="A46">
        <v>95</v>
      </c>
      <c r="C46" s="1" t="s">
        <v>2</v>
      </c>
      <c r="D46" s="1" t="s">
        <v>8</v>
      </c>
      <c r="E46" s="1">
        <v>9</v>
      </c>
      <c r="F46" s="1">
        <v>3</v>
      </c>
      <c r="G46" s="1">
        <f t="shared" si="0"/>
        <v>12</v>
      </c>
      <c r="H46" s="1">
        <v>0</v>
      </c>
      <c r="I46">
        <v>95</v>
      </c>
      <c r="J46" s="2">
        <f t="shared" si="1"/>
        <v>0.53500000000000003</v>
      </c>
      <c r="M46" s="1" t="s">
        <v>2</v>
      </c>
      <c r="N46" s="1" t="s">
        <v>8</v>
      </c>
      <c r="O46" s="2">
        <v>0.54</v>
      </c>
    </row>
    <row r="47" spans="1:17" ht="15.75">
      <c r="A47">
        <v>95</v>
      </c>
      <c r="C47" s="1" t="s">
        <v>2</v>
      </c>
      <c r="D47" s="1" t="s">
        <v>9</v>
      </c>
      <c r="E47" s="1">
        <v>32</v>
      </c>
      <c r="F47" s="1">
        <v>3</v>
      </c>
      <c r="G47" s="1">
        <f t="shared" si="0"/>
        <v>35</v>
      </c>
      <c r="H47" s="1">
        <v>0</v>
      </c>
      <c r="I47">
        <v>95</v>
      </c>
      <c r="J47" s="2">
        <f t="shared" si="1"/>
        <v>0.65</v>
      </c>
      <c r="M47" s="1" t="s">
        <v>2</v>
      </c>
      <c r="N47" s="1" t="s">
        <v>9</v>
      </c>
      <c r="O47" s="2">
        <v>0.65</v>
      </c>
    </row>
    <row r="48" spans="1:17" ht="15.75">
      <c r="A48">
        <v>95</v>
      </c>
      <c r="C48" s="1" t="s">
        <v>2</v>
      </c>
      <c r="D48" s="1" t="s">
        <v>10</v>
      </c>
      <c r="E48" s="1">
        <v>95</v>
      </c>
      <c r="F48" s="1">
        <v>-3</v>
      </c>
      <c r="G48" s="1">
        <f t="shared" si="0"/>
        <v>92</v>
      </c>
      <c r="H48" s="1">
        <v>0</v>
      </c>
      <c r="I48">
        <v>95</v>
      </c>
      <c r="J48" s="2">
        <f t="shared" si="1"/>
        <v>0.93500000000000005</v>
      </c>
      <c r="M48" s="1" t="s">
        <v>2</v>
      </c>
      <c r="N48" s="1" t="s">
        <v>10</v>
      </c>
      <c r="O48" s="2">
        <v>0.94</v>
      </c>
    </row>
    <row r="49" spans="1:17" ht="15.75">
      <c r="A49">
        <v>95</v>
      </c>
      <c r="C49" s="1" t="s">
        <v>2</v>
      </c>
      <c r="D49" s="1" t="s">
        <v>11</v>
      </c>
      <c r="E49" s="1">
        <v>77</v>
      </c>
      <c r="F49" s="1">
        <v>3</v>
      </c>
      <c r="G49" s="1">
        <f t="shared" si="0"/>
        <v>80</v>
      </c>
      <c r="H49" s="1">
        <v>0</v>
      </c>
      <c r="I49">
        <v>95</v>
      </c>
      <c r="J49" s="2">
        <f t="shared" si="1"/>
        <v>0.875</v>
      </c>
      <c r="K49" s="3">
        <f>AVERAGE(J38:J49)</f>
        <v>0.72000000000000008</v>
      </c>
      <c r="M49" s="1" t="s">
        <v>2</v>
      </c>
      <c r="N49" s="1" t="s">
        <v>11</v>
      </c>
      <c r="O49" s="2">
        <v>0.88</v>
      </c>
      <c r="Q49">
        <v>72</v>
      </c>
    </row>
    <row r="50" spans="1:17" ht="15.75">
      <c r="A50">
        <v>38</v>
      </c>
      <c r="C50" s="1" t="s">
        <v>3</v>
      </c>
      <c r="D50" s="1" t="s">
        <v>0</v>
      </c>
      <c r="E50" s="1">
        <v>31</v>
      </c>
      <c r="F50" s="1">
        <v>3</v>
      </c>
      <c r="G50" s="1">
        <f t="shared" si="0"/>
        <v>34</v>
      </c>
      <c r="H50" s="1">
        <v>0</v>
      </c>
      <c r="I50">
        <v>38</v>
      </c>
      <c r="J50" s="2">
        <f t="shared" si="1"/>
        <v>0.36</v>
      </c>
      <c r="M50" s="1" t="s">
        <v>3</v>
      </c>
      <c r="N50" s="1" t="s">
        <v>0</v>
      </c>
      <c r="O50" s="2">
        <v>0.36</v>
      </c>
    </row>
    <row r="51" spans="1:17" ht="15.75">
      <c r="A51">
        <v>38</v>
      </c>
      <c r="C51" s="1" t="s">
        <v>3</v>
      </c>
      <c r="D51" s="1" t="s">
        <v>1</v>
      </c>
      <c r="E51" s="1">
        <v>77</v>
      </c>
      <c r="F51" s="1">
        <v>-3</v>
      </c>
      <c r="G51" s="1">
        <f t="shared" si="0"/>
        <v>74</v>
      </c>
      <c r="H51" s="1">
        <v>0</v>
      </c>
      <c r="I51">
        <v>38</v>
      </c>
      <c r="J51" s="2">
        <f t="shared" si="1"/>
        <v>0.56000000000000005</v>
      </c>
      <c r="M51" s="1" t="s">
        <v>3</v>
      </c>
      <c r="N51" s="1" t="s">
        <v>1</v>
      </c>
      <c r="O51" s="2">
        <v>0.56000000000000005</v>
      </c>
    </row>
    <row r="52" spans="1:17" ht="15.75">
      <c r="A52">
        <v>38</v>
      </c>
      <c r="C52" s="1" t="s">
        <v>3</v>
      </c>
      <c r="D52" s="1" t="s">
        <v>2</v>
      </c>
      <c r="E52" s="1">
        <v>68</v>
      </c>
      <c r="F52" s="1">
        <v>3</v>
      </c>
      <c r="G52" s="1">
        <f t="shared" si="0"/>
        <v>71</v>
      </c>
      <c r="H52" s="1">
        <v>0</v>
      </c>
      <c r="I52">
        <v>38</v>
      </c>
      <c r="J52" s="2">
        <f t="shared" si="1"/>
        <v>0.54500000000000004</v>
      </c>
      <c r="M52" s="1" t="s">
        <v>3</v>
      </c>
      <c r="N52" s="1" t="s">
        <v>2</v>
      </c>
      <c r="O52" s="2">
        <v>0.55000000000000004</v>
      </c>
    </row>
    <row r="53" spans="1:17" ht="15.75">
      <c r="A53">
        <v>38</v>
      </c>
      <c r="C53" s="1" t="s">
        <v>3</v>
      </c>
      <c r="D53" s="1" t="s">
        <v>3</v>
      </c>
      <c r="E53" s="1">
        <v>89</v>
      </c>
      <c r="F53" s="1">
        <v>3</v>
      </c>
      <c r="G53" s="1">
        <f t="shared" si="0"/>
        <v>92</v>
      </c>
      <c r="H53" s="1">
        <v>0</v>
      </c>
      <c r="I53">
        <v>38</v>
      </c>
      <c r="J53" s="2">
        <f t="shared" si="1"/>
        <v>0.65</v>
      </c>
      <c r="M53" s="1" t="s">
        <v>3</v>
      </c>
      <c r="N53" s="1" t="s">
        <v>3</v>
      </c>
      <c r="O53" s="2">
        <v>0.65</v>
      </c>
    </row>
    <row r="54" spans="1:17" ht="15.75">
      <c r="A54">
        <v>38</v>
      </c>
      <c r="C54" s="1" t="s">
        <v>3</v>
      </c>
      <c r="D54" s="1" t="s">
        <v>4</v>
      </c>
      <c r="E54" s="1">
        <v>46</v>
      </c>
      <c r="F54" s="1">
        <v>-3</v>
      </c>
      <c r="G54" s="1">
        <f t="shared" si="0"/>
        <v>43</v>
      </c>
      <c r="H54" s="1">
        <v>0</v>
      </c>
      <c r="I54">
        <v>38</v>
      </c>
      <c r="J54" s="2">
        <f t="shared" si="1"/>
        <v>0.40500000000000003</v>
      </c>
      <c r="M54" s="1" t="s">
        <v>3</v>
      </c>
      <c r="N54" s="1" t="s">
        <v>4</v>
      </c>
      <c r="O54" s="2">
        <v>0.41</v>
      </c>
    </row>
    <row r="55" spans="1:17" ht="15.75">
      <c r="A55">
        <v>38</v>
      </c>
      <c r="C55" s="1" t="s">
        <v>3</v>
      </c>
      <c r="D55" s="1" t="s">
        <v>5</v>
      </c>
      <c r="E55" s="1">
        <v>72</v>
      </c>
      <c r="F55" s="1">
        <v>3</v>
      </c>
      <c r="G55" s="1">
        <f t="shared" si="0"/>
        <v>75</v>
      </c>
      <c r="H55" s="1">
        <v>0</v>
      </c>
      <c r="I55">
        <v>38</v>
      </c>
      <c r="J55" s="2">
        <f t="shared" si="1"/>
        <v>0.56499999999999995</v>
      </c>
      <c r="M55" s="1" t="s">
        <v>3</v>
      </c>
      <c r="N55" s="1" t="s">
        <v>5</v>
      </c>
      <c r="O55" s="2">
        <v>0.56999999999999995</v>
      </c>
    </row>
    <row r="56" spans="1:17" ht="15.75">
      <c r="A56">
        <v>38</v>
      </c>
      <c r="C56" s="1" t="s">
        <v>3</v>
      </c>
      <c r="D56" s="1" t="s">
        <v>6</v>
      </c>
      <c r="E56" s="1">
        <v>38</v>
      </c>
      <c r="F56" s="1">
        <v>-3</v>
      </c>
      <c r="G56" s="1">
        <f t="shared" si="0"/>
        <v>35</v>
      </c>
      <c r="H56" s="1">
        <v>0</v>
      </c>
      <c r="I56">
        <v>38</v>
      </c>
      <c r="J56" s="2">
        <f t="shared" si="1"/>
        <v>0.36499999999999999</v>
      </c>
      <c r="M56" s="1" t="s">
        <v>3</v>
      </c>
      <c r="N56" s="1" t="s">
        <v>6</v>
      </c>
      <c r="O56" s="2">
        <v>0.37</v>
      </c>
    </row>
    <row r="57" spans="1:17" ht="15.75">
      <c r="A57">
        <v>38</v>
      </c>
      <c r="C57" s="1" t="s">
        <v>3</v>
      </c>
      <c r="D57" s="1" t="s">
        <v>7</v>
      </c>
      <c r="E57" s="1">
        <v>96</v>
      </c>
      <c r="F57" s="1">
        <v>-3</v>
      </c>
      <c r="G57" s="1">
        <f t="shared" si="0"/>
        <v>93</v>
      </c>
      <c r="H57" s="1">
        <v>0</v>
      </c>
      <c r="I57">
        <v>38</v>
      </c>
      <c r="J57" s="2">
        <f t="shared" si="1"/>
        <v>0.65500000000000003</v>
      </c>
      <c r="M57" s="1" t="s">
        <v>3</v>
      </c>
      <c r="N57" s="1" t="s">
        <v>7</v>
      </c>
      <c r="O57" s="2">
        <v>0.66</v>
      </c>
    </row>
    <row r="58" spans="1:17" ht="15.75">
      <c r="A58">
        <v>38</v>
      </c>
      <c r="C58" s="1" t="s">
        <v>3</v>
      </c>
      <c r="D58" s="1" t="s">
        <v>8</v>
      </c>
      <c r="E58" s="1">
        <v>17</v>
      </c>
      <c r="F58" s="1">
        <v>3</v>
      </c>
      <c r="G58" s="1">
        <f t="shared" si="0"/>
        <v>20</v>
      </c>
      <c r="H58" s="1">
        <v>0</v>
      </c>
      <c r="I58">
        <v>38</v>
      </c>
      <c r="J58" s="2">
        <f t="shared" si="1"/>
        <v>0.28999999999999998</v>
      </c>
      <c r="M58" s="1" t="s">
        <v>3</v>
      </c>
      <c r="N58" s="1" t="s">
        <v>8</v>
      </c>
      <c r="O58" s="2">
        <v>0.28999999999999998</v>
      </c>
    </row>
    <row r="59" spans="1:17" ht="15.75">
      <c r="A59">
        <v>38</v>
      </c>
      <c r="C59" s="1" t="s">
        <v>3</v>
      </c>
      <c r="D59" s="1" t="s">
        <v>9</v>
      </c>
      <c r="E59" s="1">
        <v>7</v>
      </c>
      <c r="F59" s="1">
        <v>3</v>
      </c>
      <c r="G59" s="1">
        <f t="shared" si="0"/>
        <v>10</v>
      </c>
      <c r="H59" s="1">
        <v>0</v>
      </c>
      <c r="I59">
        <v>38</v>
      </c>
      <c r="J59" s="2">
        <f t="shared" si="1"/>
        <v>0.24</v>
      </c>
      <c r="M59" s="1" t="s">
        <v>3</v>
      </c>
      <c r="N59" s="1" t="s">
        <v>9</v>
      </c>
      <c r="O59" s="2">
        <v>0.24</v>
      </c>
    </row>
    <row r="60" spans="1:17" ht="15.75">
      <c r="A60">
        <v>38</v>
      </c>
      <c r="C60" s="1" t="s">
        <v>3</v>
      </c>
      <c r="D60" s="1" t="s">
        <v>10</v>
      </c>
      <c r="E60" s="1">
        <v>78</v>
      </c>
      <c r="F60" s="1">
        <v>-3</v>
      </c>
      <c r="G60" s="1">
        <f t="shared" si="0"/>
        <v>75</v>
      </c>
      <c r="H60" s="1">
        <v>0</v>
      </c>
      <c r="I60">
        <v>38</v>
      </c>
      <c r="J60" s="2">
        <f t="shared" si="1"/>
        <v>0.56499999999999995</v>
      </c>
      <c r="M60" s="1" t="s">
        <v>3</v>
      </c>
      <c r="N60" s="1" t="s">
        <v>10</v>
      </c>
      <c r="O60" s="2">
        <v>0.56999999999999995</v>
      </c>
    </row>
    <row r="61" spans="1:17" ht="15.75">
      <c r="A61">
        <v>38</v>
      </c>
      <c r="C61" s="1" t="s">
        <v>3</v>
      </c>
      <c r="D61" s="1" t="s">
        <v>11</v>
      </c>
      <c r="E61" s="1">
        <v>95</v>
      </c>
      <c r="F61" s="1">
        <v>3</v>
      </c>
      <c r="G61" s="1">
        <f t="shared" si="0"/>
        <v>98</v>
      </c>
      <c r="H61" s="1">
        <v>0</v>
      </c>
      <c r="I61">
        <v>38</v>
      </c>
      <c r="J61" s="2">
        <f t="shared" si="1"/>
        <v>0.68</v>
      </c>
      <c r="K61" s="3">
        <f>AVERAGE(J50:J61)</f>
        <v>0.49000000000000005</v>
      </c>
      <c r="M61" s="1" t="s">
        <v>3</v>
      </c>
      <c r="N61" s="1" t="s">
        <v>11</v>
      </c>
      <c r="O61" s="2">
        <v>0.68</v>
      </c>
      <c r="Q61">
        <v>49</v>
      </c>
    </row>
    <row r="62" spans="1:17" ht="15.75">
      <c r="A62">
        <v>77</v>
      </c>
      <c r="C62" s="1" t="s">
        <v>4</v>
      </c>
      <c r="D62" s="1" t="s">
        <v>0</v>
      </c>
      <c r="E62" s="1">
        <v>96</v>
      </c>
      <c r="F62" s="1">
        <v>3</v>
      </c>
      <c r="G62" s="1">
        <f t="shared" si="0"/>
        <v>99</v>
      </c>
      <c r="H62" s="1">
        <v>0</v>
      </c>
      <c r="I62">
        <v>77</v>
      </c>
      <c r="J62" s="2">
        <f t="shared" si="1"/>
        <v>0.88</v>
      </c>
      <c r="M62" s="1" t="s">
        <v>4</v>
      </c>
      <c r="N62" s="1" t="s">
        <v>0</v>
      </c>
      <c r="O62" s="2">
        <v>0.88</v>
      </c>
    </row>
    <row r="63" spans="1:17" ht="15.75">
      <c r="A63">
        <v>77</v>
      </c>
      <c r="C63" s="1" t="s">
        <v>4</v>
      </c>
      <c r="D63" s="1" t="s">
        <v>1</v>
      </c>
      <c r="E63" s="1">
        <v>24</v>
      </c>
      <c r="F63" s="1">
        <v>-3</v>
      </c>
      <c r="G63" s="1">
        <f t="shared" si="0"/>
        <v>21</v>
      </c>
      <c r="H63" s="1">
        <v>0</v>
      </c>
      <c r="I63">
        <v>77</v>
      </c>
      <c r="J63" s="2">
        <f t="shared" si="1"/>
        <v>0.49</v>
      </c>
      <c r="M63" s="1" t="s">
        <v>4</v>
      </c>
      <c r="N63" s="1" t="s">
        <v>1</v>
      </c>
      <c r="O63" s="2">
        <v>0.49</v>
      </c>
    </row>
    <row r="64" spans="1:17" ht="15.75">
      <c r="A64">
        <v>77</v>
      </c>
      <c r="C64" s="1" t="s">
        <v>4</v>
      </c>
      <c r="D64" s="1" t="s">
        <v>2</v>
      </c>
      <c r="E64" s="1">
        <v>71</v>
      </c>
      <c r="F64" s="1">
        <v>3</v>
      </c>
      <c r="G64" s="1">
        <f t="shared" si="0"/>
        <v>74</v>
      </c>
      <c r="H64" s="1">
        <v>0</v>
      </c>
      <c r="I64">
        <v>77</v>
      </c>
      <c r="J64" s="2">
        <f t="shared" si="1"/>
        <v>0.755</v>
      </c>
      <c r="M64" s="1" t="s">
        <v>4</v>
      </c>
      <c r="N64" s="1" t="s">
        <v>2</v>
      </c>
      <c r="O64" s="2">
        <v>0.76</v>
      </c>
    </row>
    <row r="65" spans="1:17" ht="15.75">
      <c r="A65">
        <v>77</v>
      </c>
      <c r="C65" s="1" t="s">
        <v>4</v>
      </c>
      <c r="D65" s="1" t="s">
        <v>3</v>
      </c>
      <c r="E65" s="1">
        <v>46</v>
      </c>
      <c r="F65" s="1">
        <v>3</v>
      </c>
      <c r="G65" s="1">
        <f t="shared" si="0"/>
        <v>49</v>
      </c>
      <c r="H65" s="1">
        <v>0</v>
      </c>
      <c r="I65">
        <v>77</v>
      </c>
      <c r="J65" s="2">
        <f t="shared" si="1"/>
        <v>0.63</v>
      </c>
      <c r="M65" s="1" t="s">
        <v>4</v>
      </c>
      <c r="N65" s="1" t="s">
        <v>3</v>
      </c>
      <c r="O65" s="2">
        <v>0.63</v>
      </c>
    </row>
    <row r="66" spans="1:17" ht="15.75">
      <c r="A66">
        <v>77</v>
      </c>
      <c r="C66" s="1" t="s">
        <v>4</v>
      </c>
      <c r="D66" s="1" t="s">
        <v>4</v>
      </c>
      <c r="E66" s="1">
        <v>55</v>
      </c>
      <c r="F66" s="1">
        <v>-3</v>
      </c>
      <c r="G66" s="1">
        <f t="shared" si="0"/>
        <v>52</v>
      </c>
      <c r="H66" s="1">
        <v>0</v>
      </c>
      <c r="I66">
        <v>77</v>
      </c>
      <c r="J66" s="2">
        <f t="shared" si="1"/>
        <v>0.64500000000000002</v>
      </c>
      <c r="M66" s="1" t="s">
        <v>4</v>
      </c>
      <c r="N66" s="1" t="s">
        <v>4</v>
      </c>
      <c r="O66" s="2">
        <v>0.65</v>
      </c>
    </row>
    <row r="67" spans="1:17" ht="15.75">
      <c r="A67">
        <v>77</v>
      </c>
      <c r="C67" s="1" t="s">
        <v>4</v>
      </c>
      <c r="D67" s="1" t="s">
        <v>5</v>
      </c>
      <c r="E67" s="1">
        <v>75</v>
      </c>
      <c r="F67" s="1">
        <v>3</v>
      </c>
      <c r="G67" s="1">
        <f t="shared" si="0"/>
        <v>78</v>
      </c>
      <c r="H67" s="1">
        <v>0</v>
      </c>
      <c r="I67">
        <v>77</v>
      </c>
      <c r="J67" s="2">
        <f t="shared" si="1"/>
        <v>0.77500000000000002</v>
      </c>
      <c r="M67" s="1" t="s">
        <v>4</v>
      </c>
      <c r="N67" s="1" t="s">
        <v>5</v>
      </c>
      <c r="O67" s="2">
        <v>0.78</v>
      </c>
    </row>
    <row r="68" spans="1:17" ht="15.75">
      <c r="A68">
        <v>77</v>
      </c>
      <c r="C68" s="1" t="s">
        <v>4</v>
      </c>
      <c r="D68" s="1" t="s">
        <v>6</v>
      </c>
      <c r="E68" s="1">
        <v>77</v>
      </c>
      <c r="F68" s="1">
        <v>-3</v>
      </c>
      <c r="G68" s="1">
        <f t="shared" si="0"/>
        <v>74</v>
      </c>
      <c r="H68" s="1">
        <v>0</v>
      </c>
      <c r="I68">
        <v>77</v>
      </c>
      <c r="J68" s="2">
        <f t="shared" si="1"/>
        <v>0.755</v>
      </c>
      <c r="M68" s="1" t="s">
        <v>4</v>
      </c>
      <c r="N68" s="1" t="s">
        <v>6</v>
      </c>
      <c r="O68" s="2">
        <v>0.76</v>
      </c>
    </row>
    <row r="69" spans="1:17" ht="15.75">
      <c r="A69">
        <v>77</v>
      </c>
      <c r="C69" s="1" t="s">
        <v>4</v>
      </c>
      <c r="D69" s="1" t="s">
        <v>7</v>
      </c>
      <c r="E69" s="1">
        <v>22</v>
      </c>
      <c r="F69" s="1">
        <v>-3</v>
      </c>
      <c r="G69" s="1">
        <f t="shared" si="0"/>
        <v>19</v>
      </c>
      <c r="H69" s="1">
        <v>0</v>
      </c>
      <c r="I69">
        <v>77</v>
      </c>
      <c r="J69" s="2">
        <f t="shared" si="1"/>
        <v>0.48</v>
      </c>
      <c r="M69" s="1" t="s">
        <v>4</v>
      </c>
      <c r="N69" s="1" t="s">
        <v>7</v>
      </c>
      <c r="O69" s="2">
        <v>0.48</v>
      </c>
    </row>
    <row r="70" spans="1:17" ht="15.75">
      <c r="A70">
        <v>77</v>
      </c>
      <c r="C70" s="1" t="s">
        <v>4</v>
      </c>
      <c r="D70" s="1" t="s">
        <v>8</v>
      </c>
      <c r="E70" s="1">
        <v>96</v>
      </c>
      <c r="F70" s="1">
        <v>3</v>
      </c>
      <c r="G70" s="1">
        <f t="shared" si="0"/>
        <v>99</v>
      </c>
      <c r="H70" s="1">
        <v>0</v>
      </c>
      <c r="I70">
        <v>77</v>
      </c>
      <c r="J70" s="2">
        <f t="shared" si="1"/>
        <v>0.88</v>
      </c>
      <c r="M70" s="1" t="s">
        <v>4</v>
      </c>
      <c r="N70" s="1" t="s">
        <v>8</v>
      </c>
      <c r="O70" s="2">
        <v>0.88</v>
      </c>
    </row>
    <row r="71" spans="1:17" ht="15.75">
      <c r="A71">
        <v>77</v>
      </c>
      <c r="C71" s="1" t="s">
        <v>4</v>
      </c>
      <c r="D71" s="1" t="s">
        <v>9</v>
      </c>
      <c r="E71" s="1">
        <v>53</v>
      </c>
      <c r="F71" s="1">
        <v>3</v>
      </c>
      <c r="G71" s="1">
        <f t="shared" si="0"/>
        <v>56</v>
      </c>
      <c r="H71" s="1">
        <v>0</v>
      </c>
      <c r="I71">
        <v>77</v>
      </c>
      <c r="J71" s="2">
        <f t="shared" si="1"/>
        <v>0.66500000000000004</v>
      </c>
      <c r="M71" s="1" t="s">
        <v>4</v>
      </c>
      <c r="N71" s="1" t="s">
        <v>9</v>
      </c>
      <c r="O71" s="2">
        <v>0.67</v>
      </c>
    </row>
    <row r="72" spans="1:17" ht="15.75">
      <c r="A72">
        <v>77</v>
      </c>
      <c r="C72" s="1" t="s">
        <v>4</v>
      </c>
      <c r="D72" s="1" t="s">
        <v>10</v>
      </c>
      <c r="E72" s="1">
        <v>9</v>
      </c>
      <c r="F72" s="1">
        <v>-3</v>
      </c>
      <c r="G72" s="1">
        <f t="shared" si="0"/>
        <v>6</v>
      </c>
      <c r="H72" s="1">
        <v>0</v>
      </c>
      <c r="I72">
        <v>77</v>
      </c>
      <c r="J72" s="2">
        <f t="shared" si="1"/>
        <v>0.41499999999999998</v>
      </c>
      <c r="M72" s="1" t="s">
        <v>4</v>
      </c>
      <c r="N72" s="1" t="s">
        <v>10</v>
      </c>
      <c r="O72" s="2">
        <v>0.04</v>
      </c>
    </row>
    <row r="73" spans="1:17" ht="15.75">
      <c r="A73">
        <v>77</v>
      </c>
      <c r="C73" s="1" t="s">
        <v>4</v>
      </c>
      <c r="D73" s="1" t="s">
        <v>11</v>
      </c>
      <c r="E73" s="1">
        <v>76</v>
      </c>
      <c r="F73" s="1">
        <v>3</v>
      </c>
      <c r="G73" s="1">
        <f t="shared" si="0"/>
        <v>79</v>
      </c>
      <c r="H73" s="1">
        <v>0</v>
      </c>
      <c r="I73">
        <v>77</v>
      </c>
      <c r="J73" s="2">
        <f t="shared" si="1"/>
        <v>0.78</v>
      </c>
      <c r="K73" s="3">
        <f>AVERAGE(J62:J73)</f>
        <v>0.6791666666666667</v>
      </c>
      <c r="M73" s="1" t="s">
        <v>4</v>
      </c>
      <c r="N73" s="1" t="s">
        <v>11</v>
      </c>
      <c r="O73" s="2">
        <v>0.78</v>
      </c>
      <c r="Q73">
        <v>68</v>
      </c>
    </row>
    <row r="74" spans="1:17" ht="15.75">
      <c r="A74">
        <v>35</v>
      </c>
      <c r="C74" s="1" t="s">
        <v>5</v>
      </c>
      <c r="D74" s="1" t="s">
        <v>0</v>
      </c>
      <c r="E74" s="1">
        <v>76</v>
      </c>
      <c r="F74" s="1">
        <v>0</v>
      </c>
      <c r="G74" s="1">
        <f t="shared" si="0"/>
        <v>76</v>
      </c>
      <c r="H74" s="1">
        <v>5</v>
      </c>
      <c r="I74">
        <v>40</v>
      </c>
      <c r="J74" s="2">
        <f t="shared" si="1"/>
        <v>0.57999999999999996</v>
      </c>
      <c r="M74" s="1" t="s">
        <v>5</v>
      </c>
      <c r="N74" s="1" t="s">
        <v>0</v>
      </c>
      <c r="O74" s="2">
        <v>0.57999999999999996</v>
      </c>
    </row>
    <row r="75" spans="1:17" ht="15.75">
      <c r="A75">
        <v>35</v>
      </c>
      <c r="C75" s="1" t="s">
        <v>5</v>
      </c>
      <c r="D75" s="1" t="s">
        <v>1</v>
      </c>
      <c r="E75" s="1">
        <v>95</v>
      </c>
      <c r="F75" s="1">
        <v>0</v>
      </c>
      <c r="G75" s="1">
        <f t="shared" si="0"/>
        <v>95</v>
      </c>
      <c r="H75" s="1">
        <v>5</v>
      </c>
      <c r="I75">
        <v>40</v>
      </c>
      <c r="J75" s="2">
        <f t="shared" si="1"/>
        <v>0.67500000000000004</v>
      </c>
      <c r="M75" s="1" t="s">
        <v>5</v>
      </c>
      <c r="N75" s="1" t="s">
        <v>1</v>
      </c>
      <c r="O75" s="2">
        <v>0.68</v>
      </c>
    </row>
    <row r="76" spans="1:17" ht="15.75">
      <c r="A76">
        <v>35</v>
      </c>
      <c r="C76" s="1" t="s">
        <v>5</v>
      </c>
      <c r="D76" s="1" t="s">
        <v>2</v>
      </c>
      <c r="E76" s="1">
        <v>17</v>
      </c>
      <c r="F76" s="1">
        <v>0</v>
      </c>
      <c r="G76" s="1">
        <f t="shared" si="0"/>
        <v>17</v>
      </c>
      <c r="H76" s="1">
        <v>5</v>
      </c>
      <c r="I76">
        <v>40</v>
      </c>
      <c r="J76" s="2">
        <f t="shared" si="1"/>
        <v>0.28499999999999998</v>
      </c>
      <c r="M76" s="1" t="s">
        <v>5</v>
      </c>
      <c r="N76" s="1" t="s">
        <v>2</v>
      </c>
      <c r="O76" s="2">
        <v>0.28999999999999998</v>
      </c>
    </row>
    <row r="77" spans="1:17" ht="15.75">
      <c r="A77">
        <v>35</v>
      </c>
      <c r="C77" s="1" t="s">
        <v>5</v>
      </c>
      <c r="D77" s="1" t="s">
        <v>3</v>
      </c>
      <c r="E77" s="1">
        <v>72</v>
      </c>
      <c r="F77" s="1">
        <v>0</v>
      </c>
      <c r="G77" s="1">
        <f t="shared" si="0"/>
        <v>72</v>
      </c>
      <c r="H77" s="1">
        <v>5</v>
      </c>
      <c r="I77">
        <v>40</v>
      </c>
      <c r="J77" s="2">
        <f t="shared" si="1"/>
        <v>0.56000000000000005</v>
      </c>
      <c r="M77" s="1" t="s">
        <v>5</v>
      </c>
      <c r="N77" s="1" t="s">
        <v>3</v>
      </c>
      <c r="O77" s="2">
        <v>0.56000000000000005</v>
      </c>
    </row>
    <row r="78" spans="1:17" ht="15.75">
      <c r="A78">
        <v>35</v>
      </c>
      <c r="C78" s="1" t="s">
        <v>5</v>
      </c>
      <c r="D78" s="1" t="s">
        <v>4</v>
      </c>
      <c r="E78" s="1">
        <v>75</v>
      </c>
      <c r="F78" s="1">
        <v>3</v>
      </c>
      <c r="G78" s="1">
        <f t="shared" ref="G78:G111" si="2">F78+E78</f>
        <v>78</v>
      </c>
      <c r="H78" s="1">
        <v>5</v>
      </c>
      <c r="I78">
        <v>40</v>
      </c>
      <c r="J78" s="2">
        <f t="shared" si="1"/>
        <v>0.59</v>
      </c>
      <c r="M78" s="1" t="s">
        <v>5</v>
      </c>
      <c r="N78" s="1" t="s">
        <v>4</v>
      </c>
      <c r="O78" s="2">
        <v>0.59</v>
      </c>
    </row>
    <row r="79" spans="1:17" ht="15.75">
      <c r="A79">
        <v>35</v>
      </c>
      <c r="C79" s="1" t="s">
        <v>5</v>
      </c>
      <c r="D79" s="1" t="s">
        <v>5</v>
      </c>
      <c r="E79" s="1">
        <v>45</v>
      </c>
      <c r="F79" s="1">
        <v>3</v>
      </c>
      <c r="G79" s="1">
        <f t="shared" si="2"/>
        <v>48</v>
      </c>
      <c r="H79" s="1">
        <v>5</v>
      </c>
      <c r="I79">
        <v>40</v>
      </c>
      <c r="J79" s="2">
        <f t="shared" ref="J79:J142" si="3">AVERAGE(I79,G79)/100</f>
        <v>0.44</v>
      </c>
      <c r="M79" s="1" t="s">
        <v>5</v>
      </c>
      <c r="N79" s="1" t="s">
        <v>5</v>
      </c>
      <c r="O79" s="2">
        <v>0.44</v>
      </c>
    </row>
    <row r="80" spans="1:17" ht="15.75">
      <c r="A80">
        <v>35</v>
      </c>
      <c r="C80" s="1" t="s">
        <v>5</v>
      </c>
      <c r="D80" s="1" t="s">
        <v>6</v>
      </c>
      <c r="E80" s="1">
        <v>35</v>
      </c>
      <c r="F80" s="1">
        <v>-3</v>
      </c>
      <c r="G80" s="1">
        <f t="shared" si="2"/>
        <v>32</v>
      </c>
      <c r="H80" s="1">
        <v>5</v>
      </c>
      <c r="I80">
        <v>40</v>
      </c>
      <c r="J80" s="2">
        <f t="shared" si="3"/>
        <v>0.36</v>
      </c>
      <c r="M80" s="1" t="s">
        <v>5</v>
      </c>
      <c r="N80" s="1" t="s">
        <v>6</v>
      </c>
      <c r="O80" s="2">
        <v>0.36</v>
      </c>
    </row>
    <row r="81" spans="1:17" ht="15.75">
      <c r="A81">
        <v>35</v>
      </c>
      <c r="C81" s="1" t="s">
        <v>5</v>
      </c>
      <c r="D81" s="1" t="s">
        <v>7</v>
      </c>
      <c r="E81" s="1">
        <v>87</v>
      </c>
      <c r="F81" s="1">
        <v>-3</v>
      </c>
      <c r="G81" s="1">
        <f t="shared" si="2"/>
        <v>84</v>
      </c>
      <c r="H81" s="1">
        <v>5</v>
      </c>
      <c r="I81">
        <v>40</v>
      </c>
      <c r="J81" s="2">
        <f t="shared" si="3"/>
        <v>0.62</v>
      </c>
      <c r="M81" s="1" t="s">
        <v>5</v>
      </c>
      <c r="N81" s="1" t="s">
        <v>7</v>
      </c>
      <c r="O81" s="2">
        <v>0.62</v>
      </c>
    </row>
    <row r="82" spans="1:17" ht="15.75">
      <c r="A82">
        <v>35</v>
      </c>
      <c r="C82" s="1" t="s">
        <v>5</v>
      </c>
      <c r="D82" s="1" t="s">
        <v>8</v>
      </c>
      <c r="E82" s="1">
        <v>43</v>
      </c>
      <c r="F82" s="1">
        <v>-5</v>
      </c>
      <c r="G82" s="1">
        <f t="shared" si="2"/>
        <v>38</v>
      </c>
      <c r="H82" s="1">
        <v>5</v>
      </c>
      <c r="I82">
        <v>40</v>
      </c>
      <c r="J82" s="2">
        <f t="shared" si="3"/>
        <v>0.39</v>
      </c>
      <c r="M82" s="1" t="s">
        <v>5</v>
      </c>
      <c r="N82" s="1" t="s">
        <v>8</v>
      </c>
      <c r="O82" s="2">
        <v>0.39</v>
      </c>
    </row>
    <row r="83" spans="1:17" ht="15.75">
      <c r="A83">
        <v>35</v>
      </c>
      <c r="C83" s="1" t="s">
        <v>5</v>
      </c>
      <c r="D83" s="1" t="s">
        <v>9</v>
      </c>
      <c r="E83" s="1">
        <v>95</v>
      </c>
      <c r="F83" s="1">
        <v>-5</v>
      </c>
      <c r="G83" s="1">
        <f t="shared" si="2"/>
        <v>90</v>
      </c>
      <c r="H83" s="1">
        <v>5</v>
      </c>
      <c r="I83">
        <v>40</v>
      </c>
      <c r="J83" s="2">
        <f t="shared" si="3"/>
        <v>0.65</v>
      </c>
      <c r="M83" s="1" t="s">
        <v>5</v>
      </c>
      <c r="N83" s="1" t="s">
        <v>9</v>
      </c>
      <c r="O83" s="2">
        <v>0.65</v>
      </c>
    </row>
    <row r="84" spans="1:17" ht="15.75">
      <c r="A84">
        <v>35</v>
      </c>
      <c r="C84" s="1" t="s">
        <v>5</v>
      </c>
      <c r="D84" s="1" t="s">
        <v>10</v>
      </c>
      <c r="E84" s="1">
        <v>77</v>
      </c>
      <c r="F84" s="1">
        <v>3</v>
      </c>
      <c r="G84" s="1">
        <f t="shared" si="2"/>
        <v>80</v>
      </c>
      <c r="H84" s="1">
        <v>5</v>
      </c>
      <c r="I84">
        <v>40</v>
      </c>
      <c r="J84" s="2">
        <f t="shared" si="3"/>
        <v>0.6</v>
      </c>
      <c r="M84" s="1" t="s">
        <v>5</v>
      </c>
      <c r="N84" s="1" t="s">
        <v>10</v>
      </c>
      <c r="O84" s="2">
        <v>0.6</v>
      </c>
    </row>
    <row r="85" spans="1:17" ht="15.75">
      <c r="A85">
        <v>35</v>
      </c>
      <c r="C85" s="1" t="s">
        <v>5</v>
      </c>
      <c r="D85" s="1" t="s">
        <v>11</v>
      </c>
      <c r="E85" s="1">
        <v>12</v>
      </c>
      <c r="F85" s="1">
        <v>3</v>
      </c>
      <c r="G85" s="1">
        <f t="shared" si="2"/>
        <v>15</v>
      </c>
      <c r="H85" s="1">
        <v>5</v>
      </c>
      <c r="I85">
        <v>40</v>
      </c>
      <c r="J85" s="2">
        <f t="shared" si="3"/>
        <v>0.27500000000000002</v>
      </c>
      <c r="K85" s="3">
        <f>AVERAGE(J74:J85)</f>
        <v>0.50208333333333333</v>
      </c>
      <c r="M85" s="1" t="s">
        <v>5</v>
      </c>
      <c r="N85" s="1" t="s">
        <v>11</v>
      </c>
      <c r="O85" s="2">
        <v>0.28000000000000003</v>
      </c>
      <c r="Q85">
        <v>50</v>
      </c>
    </row>
    <row r="86" spans="1:17" ht="15.75">
      <c r="A86">
        <v>40</v>
      </c>
      <c r="C86" s="1" t="s">
        <v>6</v>
      </c>
      <c r="D86" s="1" t="s">
        <v>0</v>
      </c>
      <c r="E86" s="1">
        <v>11</v>
      </c>
      <c r="F86" s="1">
        <v>0</v>
      </c>
      <c r="G86" s="1">
        <f t="shared" si="2"/>
        <v>11</v>
      </c>
      <c r="H86" s="1">
        <v>5</v>
      </c>
      <c r="I86">
        <v>45</v>
      </c>
      <c r="J86" s="2">
        <f t="shared" si="3"/>
        <v>0.28000000000000003</v>
      </c>
      <c r="M86" s="1" t="s">
        <v>6</v>
      </c>
      <c r="N86" s="1" t="s">
        <v>0</v>
      </c>
      <c r="O86" s="2">
        <v>0.28000000000000003</v>
      </c>
    </row>
    <row r="87" spans="1:17" ht="15.75">
      <c r="A87">
        <v>40</v>
      </c>
      <c r="C87" s="1" t="s">
        <v>6</v>
      </c>
      <c r="D87" s="1" t="s">
        <v>1</v>
      </c>
      <c r="E87" s="1">
        <v>13</v>
      </c>
      <c r="F87" s="1">
        <v>0</v>
      </c>
      <c r="G87" s="1">
        <f t="shared" si="2"/>
        <v>13</v>
      </c>
      <c r="H87" s="1">
        <v>5</v>
      </c>
      <c r="I87">
        <v>45</v>
      </c>
      <c r="J87" s="2">
        <f t="shared" si="3"/>
        <v>0.28999999999999998</v>
      </c>
      <c r="M87" s="1" t="s">
        <v>6</v>
      </c>
      <c r="N87" s="1" t="s">
        <v>1</v>
      </c>
      <c r="O87" s="2">
        <v>0.28999999999999998</v>
      </c>
    </row>
    <row r="88" spans="1:17" ht="15.75">
      <c r="A88">
        <v>40</v>
      </c>
      <c r="C88" s="1" t="s">
        <v>6</v>
      </c>
      <c r="D88" s="1" t="s">
        <v>2</v>
      </c>
      <c r="E88" s="1">
        <v>95</v>
      </c>
      <c r="F88" s="1">
        <v>0</v>
      </c>
      <c r="G88" s="1">
        <f t="shared" si="2"/>
        <v>95</v>
      </c>
      <c r="H88" s="1">
        <v>5</v>
      </c>
      <c r="I88">
        <v>45</v>
      </c>
      <c r="J88" s="2">
        <f t="shared" si="3"/>
        <v>0.7</v>
      </c>
      <c r="M88" s="1" t="s">
        <v>6</v>
      </c>
      <c r="N88" s="1" t="s">
        <v>2</v>
      </c>
      <c r="O88" s="2">
        <v>0.7</v>
      </c>
    </row>
    <row r="89" spans="1:17" ht="15.75">
      <c r="A89">
        <v>40</v>
      </c>
      <c r="C89" s="1" t="s">
        <v>6</v>
      </c>
      <c r="D89" s="1" t="s">
        <v>3</v>
      </c>
      <c r="E89" s="1">
        <v>38</v>
      </c>
      <c r="F89" s="1">
        <v>0</v>
      </c>
      <c r="G89" s="1">
        <f t="shared" si="2"/>
        <v>38</v>
      </c>
      <c r="H89" s="1">
        <v>5</v>
      </c>
      <c r="I89">
        <v>45</v>
      </c>
      <c r="J89" s="2">
        <f t="shared" si="3"/>
        <v>0.41499999999999998</v>
      </c>
      <c r="M89" s="1" t="s">
        <v>6</v>
      </c>
      <c r="N89" s="1" t="s">
        <v>3</v>
      </c>
      <c r="O89" s="2">
        <v>0.42</v>
      </c>
    </row>
    <row r="90" spans="1:17" ht="15.75">
      <c r="A90">
        <v>40</v>
      </c>
      <c r="C90" s="1" t="s">
        <v>6</v>
      </c>
      <c r="D90" s="1" t="s">
        <v>4</v>
      </c>
      <c r="E90" s="1">
        <v>77</v>
      </c>
      <c r="F90" s="1">
        <v>3</v>
      </c>
      <c r="G90" s="1">
        <f t="shared" si="2"/>
        <v>80</v>
      </c>
      <c r="H90" s="1">
        <v>5</v>
      </c>
      <c r="I90">
        <v>45</v>
      </c>
      <c r="J90" s="2">
        <f t="shared" si="3"/>
        <v>0.625</v>
      </c>
      <c r="M90" s="1" t="s">
        <v>6</v>
      </c>
      <c r="N90" s="1" t="s">
        <v>4</v>
      </c>
      <c r="O90" s="2">
        <v>0.63</v>
      </c>
    </row>
    <row r="91" spans="1:17" ht="15.75">
      <c r="A91">
        <v>40</v>
      </c>
      <c r="C91" s="1" t="s">
        <v>6</v>
      </c>
      <c r="D91" s="1" t="s">
        <v>5</v>
      </c>
      <c r="E91" s="1">
        <v>33</v>
      </c>
      <c r="F91" s="1">
        <v>3</v>
      </c>
      <c r="G91" s="1">
        <f t="shared" si="2"/>
        <v>36</v>
      </c>
      <c r="H91" s="1">
        <v>5</v>
      </c>
      <c r="I91">
        <v>45</v>
      </c>
      <c r="J91" s="2">
        <f t="shared" si="3"/>
        <v>0.40500000000000003</v>
      </c>
      <c r="M91" s="1" t="s">
        <v>6</v>
      </c>
      <c r="N91" s="1" t="s">
        <v>5</v>
      </c>
      <c r="O91" s="2">
        <v>0.41</v>
      </c>
    </row>
    <row r="92" spans="1:17" ht="15.75">
      <c r="A92">
        <v>40</v>
      </c>
      <c r="C92" s="1" t="s">
        <v>6</v>
      </c>
      <c r="D92" s="1" t="s">
        <v>6</v>
      </c>
      <c r="E92" s="1">
        <v>40</v>
      </c>
      <c r="F92" s="1">
        <v>-3</v>
      </c>
      <c r="G92" s="1">
        <f t="shared" si="2"/>
        <v>37</v>
      </c>
      <c r="H92" s="1">
        <v>5</v>
      </c>
      <c r="I92">
        <v>45</v>
      </c>
      <c r="J92" s="2">
        <f t="shared" si="3"/>
        <v>0.41</v>
      </c>
      <c r="M92" s="1" t="s">
        <v>6</v>
      </c>
      <c r="N92" s="1" t="s">
        <v>6</v>
      </c>
      <c r="O92" s="2">
        <v>0.41</v>
      </c>
    </row>
    <row r="93" spans="1:17" ht="15.75">
      <c r="A93">
        <v>40</v>
      </c>
      <c r="C93" s="1" t="s">
        <v>6</v>
      </c>
      <c r="D93" s="1" t="s">
        <v>7</v>
      </c>
      <c r="E93" s="1">
        <v>90</v>
      </c>
      <c r="F93" s="1">
        <v>-3</v>
      </c>
      <c r="G93" s="1">
        <f t="shared" si="2"/>
        <v>87</v>
      </c>
      <c r="H93" s="1">
        <v>5</v>
      </c>
      <c r="I93">
        <v>45</v>
      </c>
      <c r="J93" s="2">
        <f t="shared" si="3"/>
        <v>0.66</v>
      </c>
      <c r="M93" s="1" t="s">
        <v>6</v>
      </c>
      <c r="N93" s="1" t="s">
        <v>7</v>
      </c>
      <c r="O93" s="2">
        <v>0.66</v>
      </c>
    </row>
    <row r="94" spans="1:17" ht="15.75">
      <c r="A94">
        <v>40</v>
      </c>
      <c r="C94" s="1" t="s">
        <v>6</v>
      </c>
      <c r="D94" s="1" t="s">
        <v>8</v>
      </c>
      <c r="E94" s="1">
        <v>33</v>
      </c>
      <c r="F94" s="1">
        <v>-5</v>
      </c>
      <c r="G94" s="1">
        <f t="shared" si="2"/>
        <v>28</v>
      </c>
      <c r="H94" s="1">
        <v>5</v>
      </c>
      <c r="I94">
        <v>45</v>
      </c>
      <c r="J94" s="2">
        <f t="shared" si="3"/>
        <v>0.36499999999999999</v>
      </c>
      <c r="M94" s="1" t="s">
        <v>6</v>
      </c>
      <c r="N94" s="1" t="s">
        <v>8</v>
      </c>
      <c r="O94" s="2">
        <v>0.37</v>
      </c>
    </row>
    <row r="95" spans="1:17" ht="15.75">
      <c r="A95">
        <v>40</v>
      </c>
      <c r="C95" s="1" t="s">
        <v>6</v>
      </c>
      <c r="D95" s="1" t="s">
        <v>9</v>
      </c>
      <c r="E95" s="1">
        <v>63</v>
      </c>
      <c r="F95" s="1">
        <v>-5</v>
      </c>
      <c r="G95" s="1">
        <f t="shared" si="2"/>
        <v>58</v>
      </c>
      <c r="H95" s="1">
        <v>5</v>
      </c>
      <c r="I95">
        <v>45</v>
      </c>
      <c r="J95" s="2">
        <f t="shared" si="3"/>
        <v>0.51500000000000001</v>
      </c>
      <c r="M95" s="1" t="s">
        <v>6</v>
      </c>
      <c r="N95" s="1" t="s">
        <v>9</v>
      </c>
      <c r="O95" s="2">
        <v>0.52</v>
      </c>
    </row>
    <row r="96" spans="1:17" ht="15.75">
      <c r="A96">
        <v>40</v>
      </c>
      <c r="C96" s="1" t="s">
        <v>6</v>
      </c>
      <c r="D96" s="1" t="s">
        <v>10</v>
      </c>
      <c r="E96" s="1">
        <v>95</v>
      </c>
      <c r="F96" s="1">
        <v>3</v>
      </c>
      <c r="G96" s="1">
        <f t="shared" si="2"/>
        <v>98</v>
      </c>
      <c r="H96" s="1">
        <v>5</v>
      </c>
      <c r="I96">
        <v>45</v>
      </c>
      <c r="J96" s="2">
        <f t="shared" si="3"/>
        <v>0.71499999999999997</v>
      </c>
      <c r="M96" s="1" t="s">
        <v>6</v>
      </c>
      <c r="N96" s="1" t="s">
        <v>10</v>
      </c>
      <c r="O96" s="2">
        <v>0.72</v>
      </c>
    </row>
    <row r="97" spans="1:17" ht="15.75">
      <c r="A97">
        <v>40</v>
      </c>
      <c r="C97" s="1" t="s">
        <v>6</v>
      </c>
      <c r="D97" s="1" t="s">
        <v>11</v>
      </c>
      <c r="E97" s="1">
        <v>48</v>
      </c>
      <c r="F97" s="1">
        <v>3</v>
      </c>
      <c r="G97" s="1">
        <f t="shared" si="2"/>
        <v>51</v>
      </c>
      <c r="H97" s="1">
        <v>5</v>
      </c>
      <c r="I97">
        <v>45</v>
      </c>
      <c r="J97" s="2">
        <f t="shared" si="3"/>
        <v>0.48</v>
      </c>
      <c r="K97" s="3">
        <f>AVERAGE(J86:J97)</f>
        <v>0.48833333333333329</v>
      </c>
      <c r="M97" s="1" t="s">
        <v>6</v>
      </c>
      <c r="N97" s="1" t="s">
        <v>11</v>
      </c>
      <c r="O97" s="2">
        <v>0.48</v>
      </c>
      <c r="Q97">
        <v>49</v>
      </c>
    </row>
    <row r="98" spans="1:17" ht="15.75">
      <c r="A98">
        <v>90</v>
      </c>
      <c r="C98" s="1" t="s">
        <v>7</v>
      </c>
      <c r="D98" s="1" t="s">
        <v>0</v>
      </c>
      <c r="E98" s="1">
        <v>29</v>
      </c>
      <c r="F98" s="1">
        <v>0</v>
      </c>
      <c r="G98" s="1">
        <f t="shared" si="2"/>
        <v>29</v>
      </c>
      <c r="H98" s="1">
        <v>5</v>
      </c>
      <c r="I98">
        <v>95</v>
      </c>
      <c r="J98" s="2">
        <f t="shared" si="3"/>
        <v>0.62</v>
      </c>
      <c r="M98" s="1" t="s">
        <v>7</v>
      </c>
      <c r="N98" s="1" t="s">
        <v>0</v>
      </c>
      <c r="O98" s="2">
        <v>0.62</v>
      </c>
    </row>
    <row r="99" spans="1:17" ht="15.75">
      <c r="A99">
        <v>90</v>
      </c>
      <c r="C99" s="1" t="s">
        <v>7</v>
      </c>
      <c r="D99" s="1" t="s">
        <v>1</v>
      </c>
      <c r="E99" s="1">
        <v>8</v>
      </c>
      <c r="F99" s="1">
        <v>0</v>
      </c>
      <c r="G99" s="1">
        <f t="shared" si="2"/>
        <v>8</v>
      </c>
      <c r="H99" s="1">
        <v>5</v>
      </c>
      <c r="I99">
        <v>95</v>
      </c>
      <c r="J99" s="2">
        <f t="shared" si="3"/>
        <v>0.51500000000000001</v>
      </c>
      <c r="M99" s="1" t="s">
        <v>7</v>
      </c>
      <c r="N99" s="1" t="s">
        <v>1</v>
      </c>
      <c r="O99" s="2">
        <v>0.52</v>
      </c>
    </row>
    <row r="100" spans="1:17" ht="15.75">
      <c r="A100">
        <v>90</v>
      </c>
      <c r="C100" s="1" t="s">
        <v>7</v>
      </c>
      <c r="D100" s="1" t="s">
        <v>2</v>
      </c>
      <c r="E100" s="1">
        <v>34</v>
      </c>
      <c r="F100" s="1">
        <v>0</v>
      </c>
      <c r="G100" s="1">
        <f t="shared" si="2"/>
        <v>34</v>
      </c>
      <c r="H100" s="1">
        <v>5</v>
      </c>
      <c r="I100">
        <v>95</v>
      </c>
      <c r="J100" s="2">
        <f t="shared" si="3"/>
        <v>0.64500000000000002</v>
      </c>
      <c r="M100" s="1" t="s">
        <v>7</v>
      </c>
      <c r="N100" s="1" t="s">
        <v>2</v>
      </c>
      <c r="O100" s="2">
        <v>0.65</v>
      </c>
    </row>
    <row r="101" spans="1:17" ht="15.75">
      <c r="A101">
        <v>90</v>
      </c>
      <c r="C101" s="1" t="s">
        <v>7</v>
      </c>
      <c r="D101" s="1" t="s">
        <v>3</v>
      </c>
      <c r="E101" s="1">
        <v>96</v>
      </c>
      <c r="F101" s="1">
        <v>0</v>
      </c>
      <c r="G101" s="1">
        <f t="shared" si="2"/>
        <v>96</v>
      </c>
      <c r="H101" s="1">
        <v>5</v>
      </c>
      <c r="I101">
        <v>95</v>
      </c>
      <c r="J101" s="2">
        <f t="shared" si="3"/>
        <v>0.95499999999999996</v>
      </c>
      <c r="M101" s="1" t="s">
        <v>7</v>
      </c>
      <c r="N101" s="1" t="s">
        <v>3</v>
      </c>
      <c r="O101" s="2">
        <v>0.96</v>
      </c>
    </row>
    <row r="102" spans="1:17" ht="15.75">
      <c r="A102">
        <v>90</v>
      </c>
      <c r="C102" s="1" t="s">
        <v>7</v>
      </c>
      <c r="D102" s="1" t="s">
        <v>4</v>
      </c>
      <c r="E102" s="1">
        <v>22</v>
      </c>
      <c r="F102" s="1">
        <v>3</v>
      </c>
      <c r="G102" s="1">
        <f t="shared" si="2"/>
        <v>25</v>
      </c>
      <c r="H102" s="1">
        <v>5</v>
      </c>
      <c r="I102">
        <v>95</v>
      </c>
      <c r="J102" s="2">
        <f t="shared" si="3"/>
        <v>0.6</v>
      </c>
      <c r="M102" s="1" t="s">
        <v>7</v>
      </c>
      <c r="N102" s="1" t="s">
        <v>4</v>
      </c>
      <c r="O102" s="2">
        <v>0.6</v>
      </c>
    </row>
    <row r="103" spans="1:17" ht="15.75">
      <c r="A103">
        <v>90</v>
      </c>
      <c r="C103" s="1" t="s">
        <v>7</v>
      </c>
      <c r="D103" s="1" t="s">
        <v>5</v>
      </c>
      <c r="E103" s="1">
        <v>87</v>
      </c>
      <c r="F103" s="1">
        <v>3</v>
      </c>
      <c r="G103" s="1">
        <f t="shared" si="2"/>
        <v>90</v>
      </c>
      <c r="H103" s="1">
        <v>5</v>
      </c>
      <c r="I103">
        <v>95</v>
      </c>
      <c r="J103" s="2">
        <f t="shared" si="3"/>
        <v>0.92500000000000004</v>
      </c>
      <c r="M103" s="1" t="s">
        <v>7</v>
      </c>
      <c r="N103" s="1" t="s">
        <v>5</v>
      </c>
      <c r="O103" s="2">
        <v>0.93</v>
      </c>
    </row>
    <row r="104" spans="1:17" ht="15.75">
      <c r="A104">
        <v>90</v>
      </c>
      <c r="C104" s="1" t="s">
        <v>7</v>
      </c>
      <c r="D104" s="1" t="s">
        <v>6</v>
      </c>
      <c r="E104" s="1">
        <v>90</v>
      </c>
      <c r="F104" s="1">
        <v>-3</v>
      </c>
      <c r="G104" s="1">
        <f t="shared" si="2"/>
        <v>87</v>
      </c>
      <c r="H104" s="1">
        <v>5</v>
      </c>
      <c r="I104">
        <v>95</v>
      </c>
      <c r="J104" s="2">
        <f t="shared" si="3"/>
        <v>0.91</v>
      </c>
      <c r="M104" s="1" t="s">
        <v>7</v>
      </c>
      <c r="N104" s="1" t="s">
        <v>6</v>
      </c>
      <c r="O104" s="2">
        <v>0.91</v>
      </c>
    </row>
    <row r="105" spans="1:17" ht="15.75">
      <c r="A105">
        <v>90</v>
      </c>
      <c r="C105" s="1" t="s">
        <v>7</v>
      </c>
      <c r="D105" s="1" t="s">
        <v>7</v>
      </c>
      <c r="E105" s="1">
        <v>74</v>
      </c>
      <c r="F105" s="1">
        <v>-3</v>
      </c>
      <c r="G105" s="1">
        <f t="shared" si="2"/>
        <v>71</v>
      </c>
      <c r="H105" s="1">
        <v>5</v>
      </c>
      <c r="I105">
        <v>95</v>
      </c>
      <c r="J105" s="2">
        <f t="shared" si="3"/>
        <v>0.83</v>
      </c>
      <c r="M105" s="1" t="s">
        <v>7</v>
      </c>
      <c r="N105" s="1" t="s">
        <v>7</v>
      </c>
      <c r="O105" s="2">
        <v>0.83</v>
      </c>
    </row>
    <row r="106" spans="1:17" ht="15.75">
      <c r="A106">
        <v>90</v>
      </c>
      <c r="C106" s="1" t="s">
        <v>7</v>
      </c>
      <c r="D106" s="1" t="s">
        <v>8</v>
      </c>
      <c r="E106" s="1">
        <v>44</v>
      </c>
      <c r="F106" s="1">
        <v>-5</v>
      </c>
      <c r="G106" s="1">
        <f t="shared" si="2"/>
        <v>39</v>
      </c>
      <c r="H106" s="1">
        <v>5</v>
      </c>
      <c r="I106">
        <v>95</v>
      </c>
      <c r="J106" s="2">
        <f t="shared" si="3"/>
        <v>0.67</v>
      </c>
      <c r="M106" s="1" t="s">
        <v>7</v>
      </c>
      <c r="N106" s="1" t="s">
        <v>8</v>
      </c>
      <c r="O106" s="2">
        <v>0.67</v>
      </c>
    </row>
    <row r="107" spans="1:17" ht="15.75">
      <c r="A107">
        <v>90</v>
      </c>
      <c r="C107" s="1" t="s">
        <v>7</v>
      </c>
      <c r="D107" s="1" t="s">
        <v>9</v>
      </c>
      <c r="E107" s="1">
        <v>21</v>
      </c>
      <c r="F107" s="1">
        <v>-5</v>
      </c>
      <c r="G107" s="1">
        <f t="shared" si="2"/>
        <v>16</v>
      </c>
      <c r="H107" s="1">
        <v>5</v>
      </c>
      <c r="I107">
        <v>95</v>
      </c>
      <c r="J107" s="2">
        <f t="shared" si="3"/>
        <v>0.55500000000000005</v>
      </c>
      <c r="M107" s="1" t="s">
        <v>7</v>
      </c>
      <c r="N107" s="1" t="s">
        <v>9</v>
      </c>
      <c r="O107" s="2">
        <v>0.56000000000000005</v>
      </c>
    </row>
    <row r="108" spans="1:17" ht="15.75">
      <c r="A108">
        <v>90</v>
      </c>
      <c r="C108" s="1" t="s">
        <v>7</v>
      </c>
      <c r="D108" s="1" t="s">
        <v>10</v>
      </c>
      <c r="E108" s="1">
        <v>22</v>
      </c>
      <c r="F108" s="1">
        <v>3</v>
      </c>
      <c r="G108" s="1">
        <f t="shared" si="2"/>
        <v>25</v>
      </c>
      <c r="H108" s="1">
        <v>5</v>
      </c>
      <c r="I108">
        <v>95</v>
      </c>
      <c r="J108" s="2">
        <f t="shared" si="3"/>
        <v>0.6</v>
      </c>
      <c r="M108" s="1" t="s">
        <v>7</v>
      </c>
      <c r="N108" s="1" t="s">
        <v>10</v>
      </c>
      <c r="O108" s="2">
        <v>0.6</v>
      </c>
    </row>
    <row r="109" spans="1:17" ht="15.75">
      <c r="A109">
        <v>90</v>
      </c>
      <c r="C109" s="1" t="s">
        <v>7</v>
      </c>
      <c r="D109" s="1" t="s">
        <v>11</v>
      </c>
      <c r="E109" s="1">
        <v>95</v>
      </c>
      <c r="F109" s="1">
        <v>3</v>
      </c>
      <c r="G109" s="1">
        <f t="shared" si="2"/>
        <v>98</v>
      </c>
      <c r="H109" s="1">
        <v>5</v>
      </c>
      <c r="I109">
        <v>95</v>
      </c>
      <c r="J109" s="2">
        <f t="shared" si="3"/>
        <v>0.96499999999999997</v>
      </c>
      <c r="K109" s="3">
        <f>AVERAGE(J98:J109)</f>
        <v>0.73249999999999993</v>
      </c>
      <c r="M109" s="1" t="s">
        <v>7</v>
      </c>
      <c r="N109" s="1" t="s">
        <v>11</v>
      </c>
      <c r="O109" s="2">
        <v>0.97</v>
      </c>
      <c r="Q109">
        <v>73</v>
      </c>
    </row>
    <row r="110" spans="1:17" ht="15.75">
      <c r="A110">
        <v>33</v>
      </c>
      <c r="C110" s="1" t="s">
        <v>8</v>
      </c>
      <c r="D110" s="1" t="s">
        <v>0</v>
      </c>
      <c r="E110" s="1">
        <v>96</v>
      </c>
      <c r="F110" s="1">
        <v>-5</v>
      </c>
      <c r="G110" s="1">
        <f t="shared" si="2"/>
        <v>91</v>
      </c>
      <c r="H110" s="1">
        <v>-3</v>
      </c>
      <c r="I110">
        <v>30</v>
      </c>
      <c r="J110" s="2">
        <f t="shared" si="3"/>
        <v>0.60499999999999998</v>
      </c>
      <c r="M110" s="1" t="s">
        <v>8</v>
      </c>
      <c r="N110" s="1" t="s">
        <v>0</v>
      </c>
      <c r="O110" s="2">
        <v>0.61</v>
      </c>
    </row>
    <row r="111" spans="1:17" ht="15.75">
      <c r="A111">
        <v>33</v>
      </c>
      <c r="C111" s="1" t="s">
        <v>8</v>
      </c>
      <c r="D111" s="1" t="s">
        <v>1</v>
      </c>
      <c r="E111" s="1">
        <v>42</v>
      </c>
      <c r="F111" s="1">
        <v>-5</v>
      </c>
      <c r="G111" s="1">
        <f t="shared" si="2"/>
        <v>37</v>
      </c>
      <c r="H111" s="1">
        <v>-3</v>
      </c>
      <c r="I111">
        <v>30</v>
      </c>
      <c r="J111" s="2">
        <f t="shared" si="3"/>
        <v>0.33500000000000002</v>
      </c>
      <c r="M111" s="1" t="s">
        <v>8</v>
      </c>
      <c r="N111" s="1" t="s">
        <v>1</v>
      </c>
      <c r="O111" s="2">
        <v>0.34</v>
      </c>
    </row>
    <row r="112" spans="1:17" ht="15.75">
      <c r="A112">
        <v>33</v>
      </c>
      <c r="C112" s="1" t="s">
        <v>8</v>
      </c>
      <c r="D112" s="1" t="s">
        <v>2</v>
      </c>
      <c r="E112" s="1">
        <v>9</v>
      </c>
      <c r="F112" s="1">
        <v>-5</v>
      </c>
      <c r="G112" s="1">
        <f>F112+E112</f>
        <v>4</v>
      </c>
      <c r="H112" s="1">
        <v>-3</v>
      </c>
      <c r="I112">
        <v>30</v>
      </c>
      <c r="J112" s="2">
        <f t="shared" si="3"/>
        <v>0.17</v>
      </c>
      <c r="M112" s="1" t="s">
        <v>8</v>
      </c>
      <c r="N112" s="1" t="s">
        <v>2</v>
      </c>
      <c r="O112" s="2">
        <v>0.17</v>
      </c>
    </row>
    <row r="113" spans="1:17" ht="15.75">
      <c r="A113">
        <v>33</v>
      </c>
      <c r="C113" s="1" t="s">
        <v>8</v>
      </c>
      <c r="D113" s="1" t="s">
        <v>3</v>
      </c>
      <c r="E113" s="1">
        <v>17</v>
      </c>
      <c r="F113" s="1">
        <v>-5</v>
      </c>
      <c r="G113" s="1">
        <f t="shared" ref="G113:G157" si="4">F113+E113</f>
        <v>12</v>
      </c>
      <c r="H113" s="1">
        <v>-3</v>
      </c>
      <c r="I113">
        <v>30</v>
      </c>
      <c r="J113" s="2">
        <f t="shared" si="3"/>
        <v>0.21</v>
      </c>
      <c r="M113" s="1" t="s">
        <v>8</v>
      </c>
      <c r="N113" s="1" t="s">
        <v>3</v>
      </c>
      <c r="O113" s="2">
        <v>0.21</v>
      </c>
    </row>
    <row r="114" spans="1:17" ht="15.75">
      <c r="A114">
        <v>33</v>
      </c>
      <c r="C114" s="1" t="s">
        <v>8</v>
      </c>
      <c r="D114" s="1" t="s">
        <v>4</v>
      </c>
      <c r="E114" s="1">
        <v>96</v>
      </c>
      <c r="F114" s="1">
        <v>5</v>
      </c>
      <c r="G114" s="1">
        <f t="shared" si="4"/>
        <v>101</v>
      </c>
      <c r="H114" s="1">
        <v>-3</v>
      </c>
      <c r="I114">
        <v>30</v>
      </c>
      <c r="J114" s="2">
        <f t="shared" si="3"/>
        <v>0.65500000000000003</v>
      </c>
      <c r="M114" s="1" t="s">
        <v>8</v>
      </c>
      <c r="N114" s="1" t="s">
        <v>4</v>
      </c>
      <c r="O114" s="2">
        <v>0.66</v>
      </c>
    </row>
    <row r="115" spans="1:17" ht="15.75">
      <c r="A115">
        <v>33</v>
      </c>
      <c r="C115" s="1" t="s">
        <v>8</v>
      </c>
      <c r="D115" s="1" t="s">
        <v>5</v>
      </c>
      <c r="E115" s="1">
        <v>43</v>
      </c>
      <c r="F115" s="1">
        <v>5</v>
      </c>
      <c r="G115" s="1">
        <f t="shared" si="4"/>
        <v>48</v>
      </c>
      <c r="H115" s="1">
        <v>-3</v>
      </c>
      <c r="I115">
        <v>30</v>
      </c>
      <c r="J115" s="2">
        <f t="shared" si="3"/>
        <v>0.39</v>
      </c>
      <c r="M115" s="1" t="s">
        <v>8</v>
      </c>
      <c r="N115" s="1" t="s">
        <v>5</v>
      </c>
      <c r="O115" s="2">
        <v>0.39</v>
      </c>
    </row>
    <row r="116" spans="1:17" ht="15.75">
      <c r="A116">
        <v>33</v>
      </c>
      <c r="C116" s="1" t="s">
        <v>8</v>
      </c>
      <c r="D116" s="1" t="s">
        <v>6</v>
      </c>
      <c r="E116" s="1">
        <v>33</v>
      </c>
      <c r="F116" s="1">
        <v>0</v>
      </c>
      <c r="G116" s="1">
        <f t="shared" si="4"/>
        <v>33</v>
      </c>
      <c r="H116" s="1">
        <v>-3</v>
      </c>
      <c r="I116">
        <v>30</v>
      </c>
      <c r="J116" s="2">
        <f t="shared" si="3"/>
        <v>0.315</v>
      </c>
      <c r="M116" s="1" t="s">
        <v>8</v>
      </c>
      <c r="N116" s="1" t="s">
        <v>6</v>
      </c>
      <c r="O116" s="2">
        <v>0.32</v>
      </c>
    </row>
    <row r="117" spans="1:17" ht="15.75">
      <c r="A117">
        <v>33</v>
      </c>
      <c r="C117" s="1" t="s">
        <v>8</v>
      </c>
      <c r="D117" s="1" t="s">
        <v>7</v>
      </c>
      <c r="E117" s="1">
        <v>44</v>
      </c>
      <c r="F117" s="1">
        <v>0</v>
      </c>
      <c r="G117" s="1">
        <f t="shared" si="4"/>
        <v>44</v>
      </c>
      <c r="H117" s="1">
        <v>-3</v>
      </c>
      <c r="I117">
        <v>30</v>
      </c>
      <c r="J117" s="2">
        <f t="shared" si="3"/>
        <v>0.37</v>
      </c>
      <c r="M117" s="1" t="s">
        <v>8</v>
      </c>
      <c r="N117" s="1" t="s">
        <v>7</v>
      </c>
      <c r="O117" s="2">
        <v>0.37</v>
      </c>
    </row>
    <row r="118" spans="1:17" ht="15.75">
      <c r="A118">
        <v>33</v>
      </c>
      <c r="C118" s="1" t="s">
        <v>8</v>
      </c>
      <c r="D118" s="1" t="s">
        <v>8</v>
      </c>
      <c r="E118" s="1">
        <v>92</v>
      </c>
      <c r="F118" s="1">
        <v>3</v>
      </c>
      <c r="G118" s="1">
        <f t="shared" si="4"/>
        <v>95</v>
      </c>
      <c r="H118" s="1">
        <v>-3</v>
      </c>
      <c r="I118">
        <v>30</v>
      </c>
      <c r="J118" s="2">
        <f t="shared" si="3"/>
        <v>0.625</v>
      </c>
      <c r="M118" s="1" t="s">
        <v>8</v>
      </c>
      <c r="N118" s="1" t="s">
        <v>8</v>
      </c>
      <c r="O118" s="2">
        <v>0.63</v>
      </c>
    </row>
    <row r="119" spans="1:17" ht="15.75">
      <c r="A119">
        <v>33</v>
      </c>
      <c r="C119" s="1" t="s">
        <v>8</v>
      </c>
      <c r="D119" s="1" t="s">
        <v>9</v>
      </c>
      <c r="E119" s="1">
        <v>20</v>
      </c>
      <c r="F119" s="1">
        <v>3</v>
      </c>
      <c r="G119" s="1">
        <f t="shared" si="4"/>
        <v>23</v>
      </c>
      <c r="H119" s="1">
        <v>-3</v>
      </c>
      <c r="I119">
        <v>30</v>
      </c>
      <c r="J119" s="2">
        <f t="shared" si="3"/>
        <v>0.26500000000000001</v>
      </c>
      <c r="M119" s="1" t="s">
        <v>8</v>
      </c>
      <c r="N119" s="1" t="s">
        <v>9</v>
      </c>
      <c r="O119" s="2">
        <v>0.27</v>
      </c>
    </row>
    <row r="120" spans="1:17" ht="15.75">
      <c r="A120">
        <v>33</v>
      </c>
      <c r="C120" s="1" t="s">
        <v>8</v>
      </c>
      <c r="D120" s="1" t="s">
        <v>10</v>
      </c>
      <c r="E120" s="1">
        <v>77</v>
      </c>
      <c r="F120" s="1">
        <v>-3</v>
      </c>
      <c r="G120" s="1">
        <f t="shared" si="4"/>
        <v>74</v>
      </c>
      <c r="H120" s="1">
        <v>-3</v>
      </c>
      <c r="I120">
        <v>30</v>
      </c>
      <c r="J120" s="2">
        <f t="shared" si="3"/>
        <v>0.52</v>
      </c>
      <c r="M120" s="1" t="s">
        <v>8</v>
      </c>
      <c r="N120" s="1" t="s">
        <v>10</v>
      </c>
      <c r="O120" s="2">
        <v>0.52</v>
      </c>
    </row>
    <row r="121" spans="1:17" ht="15.75">
      <c r="A121">
        <v>33</v>
      </c>
      <c r="C121" s="1" t="s">
        <v>8</v>
      </c>
      <c r="D121" s="1" t="s">
        <v>11</v>
      </c>
      <c r="E121" s="1">
        <v>67</v>
      </c>
      <c r="F121" s="1">
        <v>-3</v>
      </c>
      <c r="G121" s="1">
        <f t="shared" si="4"/>
        <v>64</v>
      </c>
      <c r="H121" s="1">
        <v>-3</v>
      </c>
      <c r="I121">
        <v>30</v>
      </c>
      <c r="J121" s="2">
        <f t="shared" si="3"/>
        <v>0.47</v>
      </c>
      <c r="K121" s="3">
        <f>AVERAGE(J110:J121)</f>
        <v>0.41083333333333333</v>
      </c>
      <c r="M121" s="1" t="s">
        <v>8</v>
      </c>
      <c r="N121" s="1" t="s">
        <v>11</v>
      </c>
      <c r="O121" s="2">
        <v>0.47</v>
      </c>
      <c r="Q121">
        <v>41</v>
      </c>
    </row>
    <row r="122" spans="1:17" ht="15.75">
      <c r="A122">
        <v>63</v>
      </c>
      <c r="C122" s="1" t="s">
        <v>9</v>
      </c>
      <c r="D122" s="1" t="s">
        <v>0</v>
      </c>
      <c r="E122" s="1">
        <v>25</v>
      </c>
      <c r="F122" s="1">
        <v>-5</v>
      </c>
      <c r="G122" s="1">
        <f t="shared" si="4"/>
        <v>20</v>
      </c>
      <c r="H122" s="1">
        <v>-3</v>
      </c>
      <c r="I122">
        <v>60</v>
      </c>
      <c r="J122" s="2">
        <f t="shared" si="3"/>
        <v>0.4</v>
      </c>
      <c r="M122" s="1" t="s">
        <v>9</v>
      </c>
      <c r="N122" s="1" t="s">
        <v>0</v>
      </c>
      <c r="O122" s="2">
        <v>0.4</v>
      </c>
    </row>
    <row r="123" spans="1:17" ht="15.75">
      <c r="A123">
        <v>63</v>
      </c>
      <c r="C123" s="1" t="s">
        <v>9</v>
      </c>
      <c r="D123" s="1" t="s">
        <v>1</v>
      </c>
      <c r="E123" s="1">
        <v>95</v>
      </c>
      <c r="F123" s="1">
        <v>-5</v>
      </c>
      <c r="G123" s="1">
        <f t="shared" si="4"/>
        <v>90</v>
      </c>
      <c r="H123" s="1">
        <v>-3</v>
      </c>
      <c r="I123">
        <v>60</v>
      </c>
      <c r="J123" s="2">
        <f t="shared" si="3"/>
        <v>0.75</v>
      </c>
      <c r="M123" s="1" t="s">
        <v>9</v>
      </c>
      <c r="N123" s="1" t="s">
        <v>1</v>
      </c>
      <c r="O123" s="2">
        <v>0.75</v>
      </c>
    </row>
    <row r="124" spans="1:17" ht="15.75">
      <c r="A124">
        <v>63</v>
      </c>
      <c r="C124" s="1" t="s">
        <v>9</v>
      </c>
      <c r="D124" s="1" t="s">
        <v>2</v>
      </c>
      <c r="E124" s="1">
        <v>32</v>
      </c>
      <c r="F124" s="1">
        <v>-5</v>
      </c>
      <c r="G124" s="1">
        <f t="shared" si="4"/>
        <v>27</v>
      </c>
      <c r="H124" s="1">
        <v>-3</v>
      </c>
      <c r="I124">
        <v>60</v>
      </c>
      <c r="J124" s="2">
        <f t="shared" si="3"/>
        <v>0.435</v>
      </c>
      <c r="M124" s="1" t="s">
        <v>9</v>
      </c>
      <c r="N124" s="1" t="s">
        <v>2</v>
      </c>
      <c r="O124" s="2">
        <v>0.44</v>
      </c>
    </row>
    <row r="125" spans="1:17" ht="15.75">
      <c r="A125">
        <v>63</v>
      </c>
      <c r="C125" s="1" t="s">
        <v>9</v>
      </c>
      <c r="D125" s="1" t="s">
        <v>3</v>
      </c>
      <c r="E125" s="1">
        <v>7</v>
      </c>
      <c r="F125" s="1">
        <v>-5</v>
      </c>
      <c r="G125" s="1">
        <f t="shared" si="4"/>
        <v>2</v>
      </c>
      <c r="H125" s="1">
        <v>-3</v>
      </c>
      <c r="I125">
        <v>60</v>
      </c>
      <c r="J125" s="2">
        <f t="shared" si="3"/>
        <v>0.31</v>
      </c>
      <c r="M125" s="1" t="s">
        <v>9</v>
      </c>
      <c r="N125" s="1" t="s">
        <v>3</v>
      </c>
      <c r="O125" s="2">
        <v>0.31</v>
      </c>
    </row>
    <row r="126" spans="1:17" ht="15.75">
      <c r="A126">
        <v>63</v>
      </c>
      <c r="C126" s="1" t="s">
        <v>9</v>
      </c>
      <c r="D126" s="1" t="s">
        <v>4</v>
      </c>
      <c r="E126" s="1">
        <v>53</v>
      </c>
      <c r="F126" s="1">
        <v>5</v>
      </c>
      <c r="G126" s="1">
        <f t="shared" si="4"/>
        <v>58</v>
      </c>
      <c r="H126" s="1">
        <v>-3</v>
      </c>
      <c r="I126">
        <v>60</v>
      </c>
      <c r="J126" s="2">
        <f t="shared" si="3"/>
        <v>0.59</v>
      </c>
      <c r="M126" s="1" t="s">
        <v>9</v>
      </c>
      <c r="N126" s="1" t="s">
        <v>4</v>
      </c>
      <c r="O126" s="2">
        <v>0.59</v>
      </c>
    </row>
    <row r="127" spans="1:17" ht="15.75">
      <c r="A127">
        <v>63</v>
      </c>
      <c r="C127" s="1" t="s">
        <v>9</v>
      </c>
      <c r="D127" s="1" t="s">
        <v>5</v>
      </c>
      <c r="E127" s="1">
        <v>95</v>
      </c>
      <c r="F127" s="1">
        <v>5</v>
      </c>
      <c r="G127" s="1">
        <f t="shared" si="4"/>
        <v>100</v>
      </c>
      <c r="H127" s="1">
        <v>-3</v>
      </c>
      <c r="I127">
        <v>60</v>
      </c>
      <c r="J127" s="2">
        <f t="shared" si="3"/>
        <v>0.8</v>
      </c>
      <c r="M127" s="1" t="s">
        <v>9</v>
      </c>
      <c r="N127" s="1" t="s">
        <v>5</v>
      </c>
      <c r="O127" s="2">
        <v>0.8</v>
      </c>
    </row>
    <row r="128" spans="1:17" ht="15.75">
      <c r="A128">
        <v>63</v>
      </c>
      <c r="C128" s="1" t="s">
        <v>9</v>
      </c>
      <c r="D128" s="1" t="s">
        <v>6</v>
      </c>
      <c r="E128" s="1">
        <v>63</v>
      </c>
      <c r="F128" s="1">
        <v>0</v>
      </c>
      <c r="G128" s="1">
        <f t="shared" si="4"/>
        <v>63</v>
      </c>
      <c r="H128" s="1">
        <v>-3</v>
      </c>
      <c r="I128">
        <v>60</v>
      </c>
      <c r="J128" s="2">
        <f t="shared" si="3"/>
        <v>0.61499999999999999</v>
      </c>
      <c r="M128" s="1" t="s">
        <v>9</v>
      </c>
      <c r="N128" s="1" t="s">
        <v>6</v>
      </c>
      <c r="O128" s="2">
        <v>0.62</v>
      </c>
    </row>
    <row r="129" spans="1:17" ht="15.75">
      <c r="A129">
        <v>63</v>
      </c>
      <c r="C129" s="1" t="s">
        <v>9</v>
      </c>
      <c r="D129" s="1" t="s">
        <v>7</v>
      </c>
      <c r="E129" s="1">
        <v>21</v>
      </c>
      <c r="F129" s="1">
        <v>0</v>
      </c>
      <c r="G129" s="1">
        <f t="shared" si="4"/>
        <v>21</v>
      </c>
      <c r="H129" s="1">
        <v>-3</v>
      </c>
      <c r="I129">
        <v>60</v>
      </c>
      <c r="J129" s="2">
        <f t="shared" si="3"/>
        <v>0.40500000000000003</v>
      </c>
      <c r="M129" s="1" t="s">
        <v>9</v>
      </c>
      <c r="N129" s="1" t="s">
        <v>7</v>
      </c>
      <c r="O129" s="2">
        <v>0.41</v>
      </c>
    </row>
    <row r="130" spans="1:17" ht="15.75">
      <c r="A130">
        <v>63</v>
      </c>
      <c r="C130" s="1" t="s">
        <v>9</v>
      </c>
      <c r="D130" s="1" t="s">
        <v>8</v>
      </c>
      <c r="E130" s="1">
        <v>20</v>
      </c>
      <c r="F130" s="1">
        <v>3</v>
      </c>
      <c r="G130" s="1">
        <f t="shared" si="4"/>
        <v>23</v>
      </c>
      <c r="H130" s="1">
        <v>-3</v>
      </c>
      <c r="I130">
        <v>60</v>
      </c>
      <c r="J130" s="2">
        <f t="shared" si="3"/>
        <v>0.41499999999999998</v>
      </c>
      <c r="M130" s="1" t="s">
        <v>9</v>
      </c>
      <c r="N130" s="1" t="s">
        <v>8</v>
      </c>
      <c r="O130" s="2">
        <v>0.42</v>
      </c>
    </row>
    <row r="131" spans="1:17" ht="15.75">
      <c r="A131">
        <v>63</v>
      </c>
      <c r="C131" s="1" t="s">
        <v>9</v>
      </c>
      <c r="D131" s="1" t="s">
        <v>9</v>
      </c>
      <c r="E131" s="1">
        <v>14</v>
      </c>
      <c r="F131" s="1">
        <v>3</v>
      </c>
      <c r="G131" s="1">
        <f t="shared" si="4"/>
        <v>17</v>
      </c>
      <c r="H131" s="1">
        <v>-3</v>
      </c>
      <c r="I131">
        <v>60</v>
      </c>
      <c r="J131" s="2">
        <f t="shared" si="3"/>
        <v>0.38500000000000001</v>
      </c>
      <c r="M131" s="1" t="s">
        <v>9</v>
      </c>
      <c r="N131" s="1" t="s">
        <v>9</v>
      </c>
      <c r="O131" s="2">
        <v>0.39</v>
      </c>
    </row>
    <row r="132" spans="1:17" ht="15.75">
      <c r="A132">
        <v>63</v>
      </c>
      <c r="C132" s="1" t="s">
        <v>9</v>
      </c>
      <c r="D132" s="1" t="s">
        <v>10</v>
      </c>
      <c r="E132" s="1">
        <v>38</v>
      </c>
      <c r="F132" s="1">
        <v>-3</v>
      </c>
      <c r="G132" s="1">
        <f t="shared" si="4"/>
        <v>35</v>
      </c>
      <c r="H132" s="1">
        <v>-3</v>
      </c>
      <c r="I132">
        <v>60</v>
      </c>
      <c r="J132" s="2">
        <f t="shared" si="3"/>
        <v>0.47499999999999998</v>
      </c>
      <c r="M132" s="1" t="s">
        <v>9</v>
      </c>
      <c r="N132" s="1" t="s">
        <v>10</v>
      </c>
      <c r="O132" s="2">
        <v>0.48</v>
      </c>
    </row>
    <row r="133" spans="1:17" ht="15.75">
      <c r="A133">
        <v>63</v>
      </c>
      <c r="C133" s="1" t="s">
        <v>9</v>
      </c>
      <c r="D133" s="1" t="s">
        <v>11</v>
      </c>
      <c r="E133" s="1">
        <v>61</v>
      </c>
      <c r="F133" s="1">
        <v>-3</v>
      </c>
      <c r="G133" s="1">
        <f t="shared" si="4"/>
        <v>58</v>
      </c>
      <c r="H133" s="1">
        <v>-3</v>
      </c>
      <c r="I133">
        <v>60</v>
      </c>
      <c r="J133" s="2">
        <f t="shared" si="3"/>
        <v>0.59</v>
      </c>
      <c r="K133" s="3">
        <f>AVERAGE(J122:J133)</f>
        <v>0.51416666666666666</v>
      </c>
      <c r="M133" s="1" t="s">
        <v>9</v>
      </c>
      <c r="N133" s="1" t="s">
        <v>11</v>
      </c>
      <c r="O133" s="2">
        <v>0.59</v>
      </c>
      <c r="Q133">
        <v>51</v>
      </c>
    </row>
    <row r="134" spans="1:17" ht="15.75">
      <c r="A134">
        <v>95</v>
      </c>
      <c r="C134" s="1" t="s">
        <v>10</v>
      </c>
      <c r="D134" s="1" t="s">
        <v>0</v>
      </c>
      <c r="E134" s="1">
        <v>49</v>
      </c>
      <c r="F134" s="1">
        <v>-5</v>
      </c>
      <c r="G134" s="1">
        <f t="shared" si="4"/>
        <v>44</v>
      </c>
      <c r="H134" s="1">
        <v>-3</v>
      </c>
      <c r="I134">
        <v>92</v>
      </c>
      <c r="J134" s="2">
        <f t="shared" si="3"/>
        <v>0.68</v>
      </c>
      <c r="M134" s="1" t="s">
        <v>10</v>
      </c>
      <c r="N134" s="1" t="s">
        <v>0</v>
      </c>
      <c r="O134" s="2">
        <v>0.68</v>
      </c>
    </row>
    <row r="135" spans="1:17" ht="15.75">
      <c r="A135">
        <v>95</v>
      </c>
      <c r="C135" s="1" t="s">
        <v>10</v>
      </c>
      <c r="D135" s="1" t="s">
        <v>1</v>
      </c>
      <c r="E135" s="1">
        <v>36</v>
      </c>
      <c r="F135" s="1">
        <v>-5</v>
      </c>
      <c r="G135" s="1">
        <f t="shared" si="4"/>
        <v>31</v>
      </c>
      <c r="H135" s="1">
        <v>-3</v>
      </c>
      <c r="I135">
        <v>92</v>
      </c>
      <c r="J135" s="2">
        <f t="shared" si="3"/>
        <v>0.61499999999999999</v>
      </c>
      <c r="M135" s="1" t="s">
        <v>10</v>
      </c>
      <c r="N135" s="1" t="s">
        <v>1</v>
      </c>
      <c r="O135" s="2">
        <v>0.62</v>
      </c>
    </row>
    <row r="136" spans="1:17" ht="15.75">
      <c r="A136">
        <v>95</v>
      </c>
      <c r="C136" s="1" t="s">
        <v>10</v>
      </c>
      <c r="D136" s="1" t="s">
        <v>2</v>
      </c>
      <c r="E136" s="1">
        <v>95</v>
      </c>
      <c r="F136" s="1">
        <v>-5</v>
      </c>
      <c r="G136" s="1">
        <f t="shared" si="4"/>
        <v>90</v>
      </c>
      <c r="H136" s="1">
        <v>-3</v>
      </c>
      <c r="I136">
        <v>92</v>
      </c>
      <c r="J136" s="2">
        <f t="shared" si="3"/>
        <v>0.91</v>
      </c>
      <c r="M136" s="1" t="s">
        <v>10</v>
      </c>
      <c r="N136" s="1" t="s">
        <v>2</v>
      </c>
      <c r="O136" s="2">
        <v>0.91</v>
      </c>
    </row>
    <row r="137" spans="1:17" ht="15.75">
      <c r="A137">
        <v>95</v>
      </c>
      <c r="C137" s="1" t="s">
        <v>10</v>
      </c>
      <c r="D137" s="1" t="s">
        <v>3</v>
      </c>
      <c r="E137" s="1">
        <v>78</v>
      </c>
      <c r="F137" s="1">
        <v>-5</v>
      </c>
      <c r="G137" s="1">
        <f t="shared" si="4"/>
        <v>73</v>
      </c>
      <c r="H137" s="1">
        <v>-3</v>
      </c>
      <c r="I137">
        <v>92</v>
      </c>
      <c r="J137" s="2">
        <f t="shared" si="3"/>
        <v>0.82499999999999996</v>
      </c>
      <c r="M137" s="1" t="s">
        <v>10</v>
      </c>
      <c r="N137" s="1" t="s">
        <v>3</v>
      </c>
      <c r="O137" s="2">
        <v>0.83</v>
      </c>
    </row>
    <row r="138" spans="1:17" ht="15.75">
      <c r="A138">
        <v>95</v>
      </c>
      <c r="C138" s="1" t="s">
        <v>10</v>
      </c>
      <c r="D138" s="1" t="s">
        <v>4</v>
      </c>
      <c r="E138" s="1">
        <v>9</v>
      </c>
      <c r="F138" s="1">
        <v>5</v>
      </c>
      <c r="G138" s="1">
        <f t="shared" si="4"/>
        <v>14</v>
      </c>
      <c r="H138" s="1">
        <v>-3</v>
      </c>
      <c r="I138">
        <v>92</v>
      </c>
      <c r="J138" s="2">
        <f t="shared" si="3"/>
        <v>0.53</v>
      </c>
      <c r="M138" s="1" t="s">
        <v>10</v>
      </c>
      <c r="N138" s="1" t="s">
        <v>4</v>
      </c>
      <c r="O138" s="2">
        <v>0.53</v>
      </c>
    </row>
    <row r="139" spans="1:17" ht="15.75">
      <c r="A139">
        <v>95</v>
      </c>
      <c r="C139" s="1" t="s">
        <v>10</v>
      </c>
      <c r="D139" s="1" t="s">
        <v>5</v>
      </c>
      <c r="E139" s="1">
        <v>77</v>
      </c>
      <c r="F139" s="1">
        <v>5</v>
      </c>
      <c r="G139" s="1">
        <f t="shared" si="4"/>
        <v>82</v>
      </c>
      <c r="H139" s="1">
        <v>-3</v>
      </c>
      <c r="I139">
        <v>92</v>
      </c>
      <c r="J139" s="2">
        <f t="shared" si="3"/>
        <v>0.87</v>
      </c>
      <c r="M139" s="1" t="s">
        <v>10</v>
      </c>
      <c r="N139" s="1" t="s">
        <v>5</v>
      </c>
      <c r="O139" s="2">
        <v>0.87</v>
      </c>
    </row>
    <row r="140" spans="1:17" ht="15.75">
      <c r="A140">
        <v>95</v>
      </c>
      <c r="C140" s="1" t="s">
        <v>10</v>
      </c>
      <c r="D140" s="1" t="s">
        <v>6</v>
      </c>
      <c r="E140" s="1">
        <v>95</v>
      </c>
      <c r="F140" s="1">
        <v>0</v>
      </c>
      <c r="G140" s="1">
        <f t="shared" si="4"/>
        <v>95</v>
      </c>
      <c r="H140" s="1">
        <v>-3</v>
      </c>
      <c r="I140">
        <v>92</v>
      </c>
      <c r="J140" s="2">
        <f t="shared" si="3"/>
        <v>0.93500000000000005</v>
      </c>
      <c r="M140" s="1" t="s">
        <v>10</v>
      </c>
      <c r="N140" s="1" t="s">
        <v>6</v>
      </c>
      <c r="O140" s="2">
        <v>0.94</v>
      </c>
    </row>
    <row r="141" spans="1:17" ht="15.75">
      <c r="A141">
        <v>95</v>
      </c>
      <c r="C141" s="1" t="s">
        <v>10</v>
      </c>
      <c r="D141" s="1" t="s">
        <v>7</v>
      </c>
      <c r="E141" s="1">
        <v>22</v>
      </c>
      <c r="F141" s="1">
        <v>0</v>
      </c>
      <c r="G141" s="1">
        <f t="shared" si="4"/>
        <v>22</v>
      </c>
      <c r="H141" s="1">
        <v>-3</v>
      </c>
      <c r="I141">
        <v>92</v>
      </c>
      <c r="J141" s="2">
        <f t="shared" si="3"/>
        <v>0.56999999999999995</v>
      </c>
      <c r="M141" s="1" t="s">
        <v>10</v>
      </c>
      <c r="N141" s="1" t="s">
        <v>7</v>
      </c>
      <c r="O141" s="2">
        <v>0.56999999999999995</v>
      </c>
    </row>
    <row r="142" spans="1:17" ht="15.75">
      <c r="A142">
        <v>95</v>
      </c>
      <c r="C142" s="1" t="s">
        <v>10</v>
      </c>
      <c r="D142" s="1" t="s">
        <v>8</v>
      </c>
      <c r="E142" s="1">
        <v>77</v>
      </c>
      <c r="F142" s="1">
        <v>3</v>
      </c>
      <c r="G142" s="1">
        <f t="shared" si="4"/>
        <v>80</v>
      </c>
      <c r="H142" s="1">
        <v>-3</v>
      </c>
      <c r="I142">
        <v>92</v>
      </c>
      <c r="J142" s="2">
        <f t="shared" si="3"/>
        <v>0.86</v>
      </c>
      <c r="M142" s="1" t="s">
        <v>10</v>
      </c>
      <c r="N142" s="1" t="s">
        <v>8</v>
      </c>
      <c r="O142" s="2">
        <v>0.86</v>
      </c>
    </row>
    <row r="143" spans="1:17" ht="15.75">
      <c r="A143">
        <v>95</v>
      </c>
      <c r="C143" s="1" t="s">
        <v>10</v>
      </c>
      <c r="D143" s="1" t="s">
        <v>9</v>
      </c>
      <c r="E143" s="1">
        <v>38</v>
      </c>
      <c r="F143" s="1">
        <v>3</v>
      </c>
      <c r="G143" s="1">
        <f t="shared" si="4"/>
        <v>41</v>
      </c>
      <c r="H143" s="1">
        <v>-3</v>
      </c>
      <c r="I143">
        <v>92</v>
      </c>
      <c r="J143" s="2">
        <f t="shared" ref="J143:J157" si="5">AVERAGE(I143,G143)/100</f>
        <v>0.66500000000000004</v>
      </c>
      <c r="M143" s="1" t="s">
        <v>10</v>
      </c>
      <c r="N143" s="1" t="s">
        <v>9</v>
      </c>
      <c r="O143" s="2">
        <v>0.67</v>
      </c>
    </row>
    <row r="144" spans="1:17" ht="15.75">
      <c r="A144">
        <v>95</v>
      </c>
      <c r="C144" s="1" t="s">
        <v>10</v>
      </c>
      <c r="D144" s="1" t="s">
        <v>10</v>
      </c>
      <c r="E144" s="1">
        <v>86</v>
      </c>
      <c r="F144" s="1">
        <v>-3</v>
      </c>
      <c r="G144" s="1">
        <f t="shared" si="4"/>
        <v>83</v>
      </c>
      <c r="H144" s="1">
        <v>-3</v>
      </c>
      <c r="I144">
        <v>92</v>
      </c>
      <c r="J144" s="2">
        <f t="shared" si="5"/>
        <v>0.875</v>
      </c>
      <c r="M144" s="1" t="s">
        <v>10</v>
      </c>
      <c r="N144" s="1" t="s">
        <v>10</v>
      </c>
      <c r="O144" s="2">
        <v>0.88</v>
      </c>
    </row>
    <row r="145" spans="1:17" ht="15.75">
      <c r="A145">
        <v>95</v>
      </c>
      <c r="C145" s="1" t="s">
        <v>10</v>
      </c>
      <c r="D145" s="1" t="s">
        <v>11</v>
      </c>
      <c r="E145" s="1">
        <v>71</v>
      </c>
      <c r="F145" s="1">
        <v>-3</v>
      </c>
      <c r="G145" s="1">
        <f t="shared" si="4"/>
        <v>68</v>
      </c>
      <c r="H145" s="1">
        <v>-3</v>
      </c>
      <c r="I145">
        <v>92</v>
      </c>
      <c r="J145" s="2">
        <f t="shared" si="5"/>
        <v>0.8</v>
      </c>
      <c r="K145" s="3">
        <f>AVERAGE(J134:J145)</f>
        <v>0.76125000000000009</v>
      </c>
      <c r="M145" s="1" t="s">
        <v>10</v>
      </c>
      <c r="N145" s="1" t="s">
        <v>11</v>
      </c>
      <c r="O145" s="2">
        <v>0.8</v>
      </c>
      <c r="Q145">
        <v>76</v>
      </c>
    </row>
    <row r="146" spans="1:17" ht="15.75">
      <c r="A146">
        <v>48</v>
      </c>
      <c r="C146" s="1" t="s">
        <v>11</v>
      </c>
      <c r="D146" s="1" t="s">
        <v>0</v>
      </c>
      <c r="E146" s="1">
        <v>78</v>
      </c>
      <c r="F146" s="1">
        <v>-3</v>
      </c>
      <c r="G146" s="1">
        <f t="shared" si="4"/>
        <v>75</v>
      </c>
      <c r="H146" s="1">
        <v>3</v>
      </c>
      <c r="I146">
        <v>51</v>
      </c>
      <c r="J146" s="2">
        <f t="shared" si="5"/>
        <v>0.63</v>
      </c>
      <c r="M146" s="1" t="s">
        <v>11</v>
      </c>
      <c r="N146" s="1" t="s">
        <v>0</v>
      </c>
      <c r="O146" s="2">
        <v>0.63</v>
      </c>
    </row>
    <row r="147" spans="1:17" ht="15.75">
      <c r="A147">
        <v>48</v>
      </c>
      <c r="C147" s="1" t="s">
        <v>11</v>
      </c>
      <c r="D147" s="1" t="s">
        <v>1</v>
      </c>
      <c r="E147" s="1">
        <v>47</v>
      </c>
      <c r="F147" s="1">
        <v>-3</v>
      </c>
      <c r="G147" s="1">
        <f t="shared" si="4"/>
        <v>44</v>
      </c>
      <c r="H147" s="1">
        <v>3</v>
      </c>
      <c r="I147">
        <v>51</v>
      </c>
      <c r="J147" s="2">
        <f t="shared" si="5"/>
        <v>0.47499999999999998</v>
      </c>
      <c r="M147" s="1" t="s">
        <v>11</v>
      </c>
      <c r="N147" s="1" t="s">
        <v>1</v>
      </c>
      <c r="O147" s="2">
        <v>0.48</v>
      </c>
    </row>
    <row r="148" spans="1:17" ht="15.75">
      <c r="A148">
        <v>48</v>
      </c>
      <c r="C148" s="1" t="s">
        <v>11</v>
      </c>
      <c r="D148" s="1" t="s">
        <v>2</v>
      </c>
      <c r="E148" s="1">
        <v>77</v>
      </c>
      <c r="F148" s="1">
        <v>-3</v>
      </c>
      <c r="G148" s="1">
        <f t="shared" si="4"/>
        <v>74</v>
      </c>
      <c r="H148" s="1">
        <v>3</v>
      </c>
      <c r="I148">
        <v>51</v>
      </c>
      <c r="J148" s="2">
        <f t="shared" si="5"/>
        <v>0.625</v>
      </c>
      <c r="M148" s="1" t="s">
        <v>11</v>
      </c>
      <c r="N148" s="1" t="s">
        <v>2</v>
      </c>
      <c r="O148" s="2">
        <v>0.63</v>
      </c>
    </row>
    <row r="149" spans="1:17" ht="15.75">
      <c r="A149">
        <v>48</v>
      </c>
      <c r="C149" s="1" t="s">
        <v>11</v>
      </c>
      <c r="D149" s="1" t="s">
        <v>3</v>
      </c>
      <c r="E149" s="1">
        <v>95</v>
      </c>
      <c r="F149" s="1">
        <v>-3</v>
      </c>
      <c r="G149" s="1">
        <f t="shared" si="4"/>
        <v>92</v>
      </c>
      <c r="H149" s="1">
        <v>3</v>
      </c>
      <c r="I149">
        <v>51</v>
      </c>
      <c r="J149" s="2">
        <f t="shared" si="5"/>
        <v>0.71499999999999997</v>
      </c>
      <c r="M149" s="1" t="s">
        <v>11</v>
      </c>
      <c r="N149" s="1" t="s">
        <v>3</v>
      </c>
      <c r="O149" s="2">
        <v>0.72</v>
      </c>
    </row>
    <row r="150" spans="1:17" ht="15.75">
      <c r="A150">
        <v>48</v>
      </c>
      <c r="C150" s="1" t="s">
        <v>11</v>
      </c>
      <c r="D150" s="1" t="s">
        <v>4</v>
      </c>
      <c r="E150" s="1">
        <v>76</v>
      </c>
      <c r="F150" s="1">
        <v>-5</v>
      </c>
      <c r="G150" s="1">
        <f t="shared" si="4"/>
        <v>71</v>
      </c>
      <c r="H150" s="1">
        <v>3</v>
      </c>
      <c r="I150">
        <v>51</v>
      </c>
      <c r="J150" s="2">
        <f t="shared" si="5"/>
        <v>0.61</v>
      </c>
      <c r="M150" s="1" t="s">
        <v>11</v>
      </c>
      <c r="N150" s="1" t="s">
        <v>4</v>
      </c>
      <c r="O150" s="2">
        <v>0.61</v>
      </c>
    </row>
    <row r="151" spans="1:17" ht="15.75">
      <c r="A151">
        <v>48</v>
      </c>
      <c r="C151" s="1" t="s">
        <v>11</v>
      </c>
      <c r="D151" s="1" t="s">
        <v>5</v>
      </c>
      <c r="E151" s="1">
        <v>12</v>
      </c>
      <c r="F151" s="1">
        <v>-5</v>
      </c>
      <c r="G151" s="1">
        <f t="shared" si="4"/>
        <v>7</v>
      </c>
      <c r="H151" s="1">
        <v>3</v>
      </c>
      <c r="I151">
        <v>51</v>
      </c>
      <c r="J151" s="2">
        <f t="shared" si="5"/>
        <v>0.28999999999999998</v>
      </c>
      <c r="M151" s="1" t="s">
        <v>11</v>
      </c>
      <c r="N151" s="1" t="s">
        <v>5</v>
      </c>
      <c r="O151" s="2">
        <v>0.28999999999999998</v>
      </c>
    </row>
    <row r="152" spans="1:17" ht="15.75">
      <c r="A152">
        <v>48</v>
      </c>
      <c r="C152" s="1" t="s">
        <v>11</v>
      </c>
      <c r="D152" s="1" t="s">
        <v>6</v>
      </c>
      <c r="E152" s="1">
        <v>48</v>
      </c>
      <c r="F152" s="1">
        <v>5</v>
      </c>
      <c r="G152" s="1">
        <f t="shared" si="4"/>
        <v>53</v>
      </c>
      <c r="H152" s="1">
        <v>3</v>
      </c>
      <c r="I152">
        <v>51</v>
      </c>
      <c r="J152" s="2">
        <f t="shared" si="5"/>
        <v>0.52</v>
      </c>
      <c r="M152" s="1" t="s">
        <v>11</v>
      </c>
      <c r="N152" s="1" t="s">
        <v>6</v>
      </c>
      <c r="O152" s="2">
        <v>0.52</v>
      </c>
    </row>
    <row r="153" spans="1:17" ht="15.75">
      <c r="A153">
        <v>48</v>
      </c>
      <c r="C153" s="1" t="s">
        <v>11</v>
      </c>
      <c r="D153" s="1" t="s">
        <v>7</v>
      </c>
      <c r="E153" s="1">
        <v>95</v>
      </c>
      <c r="F153" s="1">
        <v>5</v>
      </c>
      <c r="G153" s="1">
        <f t="shared" si="4"/>
        <v>100</v>
      </c>
      <c r="H153" s="1">
        <v>3</v>
      </c>
      <c r="I153">
        <v>51</v>
      </c>
      <c r="J153" s="2">
        <f t="shared" si="5"/>
        <v>0.755</v>
      </c>
      <c r="M153" s="1" t="s">
        <v>11</v>
      </c>
      <c r="N153" s="1" t="s">
        <v>7</v>
      </c>
      <c r="O153" s="2">
        <v>0.76</v>
      </c>
    </row>
    <row r="154" spans="1:17" ht="15.75">
      <c r="A154">
        <v>48</v>
      </c>
      <c r="C154" s="1" t="s">
        <v>11</v>
      </c>
      <c r="D154" s="1" t="s">
        <v>8</v>
      </c>
      <c r="E154" s="1">
        <v>67</v>
      </c>
      <c r="F154" s="1">
        <v>0</v>
      </c>
      <c r="G154" s="1">
        <f t="shared" si="4"/>
        <v>67</v>
      </c>
      <c r="H154" s="1">
        <v>3</v>
      </c>
      <c r="I154">
        <v>51</v>
      </c>
      <c r="J154" s="2">
        <f t="shared" si="5"/>
        <v>0.59</v>
      </c>
      <c r="M154" s="1" t="s">
        <v>11</v>
      </c>
      <c r="N154" s="1" t="s">
        <v>8</v>
      </c>
      <c r="O154" s="2">
        <v>0.59</v>
      </c>
    </row>
    <row r="155" spans="1:17" ht="15.75">
      <c r="A155">
        <v>48</v>
      </c>
      <c r="C155" s="1" t="s">
        <v>11</v>
      </c>
      <c r="D155" s="1" t="s">
        <v>9</v>
      </c>
      <c r="E155" s="1">
        <v>61</v>
      </c>
      <c r="F155" s="1">
        <v>0</v>
      </c>
      <c r="G155" s="1">
        <f t="shared" si="4"/>
        <v>61</v>
      </c>
      <c r="H155" s="1">
        <v>3</v>
      </c>
      <c r="I155">
        <v>51</v>
      </c>
      <c r="J155" s="2">
        <f t="shared" si="5"/>
        <v>0.56000000000000005</v>
      </c>
      <c r="M155" s="1" t="s">
        <v>11</v>
      </c>
      <c r="N155" s="1" t="s">
        <v>9</v>
      </c>
      <c r="O155" s="2">
        <v>0.56000000000000005</v>
      </c>
    </row>
    <row r="156" spans="1:17" ht="15.75">
      <c r="A156">
        <v>48</v>
      </c>
      <c r="C156" s="1" t="s">
        <v>11</v>
      </c>
      <c r="D156" s="1" t="s">
        <v>10</v>
      </c>
      <c r="E156" s="1">
        <v>71</v>
      </c>
      <c r="F156" s="1">
        <v>3</v>
      </c>
      <c r="G156" s="1">
        <f t="shared" si="4"/>
        <v>74</v>
      </c>
      <c r="H156" s="1">
        <v>3</v>
      </c>
      <c r="I156">
        <v>51</v>
      </c>
      <c r="J156" s="2">
        <f t="shared" si="5"/>
        <v>0.625</v>
      </c>
      <c r="M156" s="1" t="s">
        <v>11</v>
      </c>
      <c r="N156" s="1" t="s">
        <v>10</v>
      </c>
      <c r="O156" s="2">
        <v>0.63</v>
      </c>
    </row>
    <row r="157" spans="1:17" ht="15.75">
      <c r="A157">
        <v>48</v>
      </c>
      <c r="C157" t="s">
        <v>11</v>
      </c>
      <c r="D157" t="s">
        <v>11</v>
      </c>
      <c r="E157">
        <v>37</v>
      </c>
      <c r="F157" s="1">
        <v>3</v>
      </c>
      <c r="G157" s="1">
        <f t="shared" si="4"/>
        <v>40</v>
      </c>
      <c r="H157" s="1">
        <v>3</v>
      </c>
      <c r="I157">
        <v>51</v>
      </c>
      <c r="J157" s="2">
        <f t="shared" si="5"/>
        <v>0.45500000000000002</v>
      </c>
      <c r="K157" s="3">
        <f>AVERAGE(J146:J157)</f>
        <v>0.5708333333333333</v>
      </c>
      <c r="M157" t="s">
        <v>11</v>
      </c>
      <c r="N157" t="s">
        <v>11</v>
      </c>
      <c r="O157" s="2">
        <v>0.46</v>
      </c>
      <c r="Q157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Bill</cp:lastModifiedBy>
  <dcterms:created xsi:type="dcterms:W3CDTF">2013-01-20T05:47:36Z</dcterms:created>
  <dcterms:modified xsi:type="dcterms:W3CDTF">2013-01-21T10:48:47Z</dcterms:modified>
</cp:coreProperties>
</file>